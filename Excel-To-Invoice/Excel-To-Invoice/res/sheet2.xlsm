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!!Data\2018\PAL\Invoices\"/>
    </mc:Choice>
  </mc:AlternateContent>
  <bookViews>
    <workbookView xWindow="120" yWindow="105" windowWidth="9420" windowHeight="4725"/>
  </bookViews>
  <sheets>
    <sheet name="Grazing Invoice" sheetId="1" r:id="rId1"/>
  </sheets>
  <externalReferences>
    <externalReference r:id="rId2"/>
  </externalReferences>
  <definedNames>
    <definedName name="_xlnm.Print_Area" localSheetId="0">'Grazing Invoice'!$A$1:$G$72</definedName>
  </definedNames>
  <calcPr calcId="162913"/>
</workbook>
</file>

<file path=xl/calcChain.xml><?xml version="1.0" encoding="utf-8"?>
<calcChain xmlns="http://schemas.openxmlformats.org/spreadsheetml/2006/main">
  <c r="J9" i="1" l="1"/>
  <c r="J19" i="1" l="1"/>
  <c r="K6" i="1" l="1"/>
  <c r="J6" i="1"/>
  <c r="I6" i="1"/>
  <c r="I7" i="1"/>
  <c r="J29" i="1" l="1"/>
  <c r="B68" i="1" l="1"/>
  <c r="B67" i="1"/>
  <c r="G6" i="1" l="1"/>
  <c r="B69" i="1" s="1"/>
  <c r="E47" i="1" l="1"/>
  <c r="F57" i="1"/>
  <c r="F36" i="1"/>
  <c r="F56" i="1"/>
  <c r="G57" i="1" l="1"/>
  <c r="E45" i="1" l="1"/>
  <c r="I9" i="1"/>
  <c r="A64" i="1" l="1"/>
  <c r="E51" i="1" l="1"/>
  <c r="A28" i="1"/>
  <c r="A27" i="1"/>
  <c r="A26" i="1"/>
  <c r="A32" i="1"/>
  <c r="D39" i="1"/>
  <c r="J25" i="1"/>
  <c r="J10" i="1"/>
  <c r="E17" i="1" s="1"/>
  <c r="J20" i="1"/>
  <c r="J15" i="1"/>
  <c r="J16" i="1" s="1"/>
  <c r="J17" i="1" s="1"/>
  <c r="A24" i="1"/>
  <c r="G56" i="1"/>
  <c r="G36" i="1"/>
  <c r="G58" i="1"/>
  <c r="D17" i="1"/>
  <c r="C17" i="1"/>
  <c r="C18" i="1" s="1"/>
  <c r="D43" i="1" l="1"/>
  <c r="D41" i="1"/>
  <c r="E41" i="1" s="1"/>
  <c r="E39" i="1"/>
  <c r="J21" i="1"/>
  <c r="J22" i="1" s="1"/>
  <c r="A21" i="1"/>
  <c r="A20" i="1"/>
  <c r="J18" i="1"/>
  <c r="D18" i="1" s="1"/>
  <c r="D19" i="1" s="1"/>
  <c r="J24" i="1"/>
  <c r="J26" i="1" l="1"/>
  <c r="E43" i="1"/>
  <c r="D45" i="1"/>
  <c r="D47" i="1" s="1"/>
  <c r="D49" i="1" s="1"/>
  <c r="A23" i="1" l="1"/>
  <c r="A22" i="1"/>
  <c r="J27" i="1"/>
  <c r="D51" i="1"/>
  <c r="D53" i="1" s="1"/>
  <c r="E53" i="1" s="1"/>
  <c r="E49" i="1"/>
  <c r="E18" i="1" l="1"/>
  <c r="A29" i="1" s="1"/>
  <c r="A25" i="1"/>
  <c r="E29" i="1"/>
  <c r="F29" i="1" s="1"/>
  <c r="F39" i="1" s="1"/>
  <c r="E19" i="1" l="1"/>
  <c r="E32" i="1" s="1"/>
  <c r="G32" i="1" s="1"/>
  <c r="F51" i="1"/>
  <c r="F41" i="1"/>
  <c r="G41" i="1" s="1"/>
  <c r="F43" i="1"/>
  <c r="G39" i="1"/>
  <c r="G51" i="1" l="1"/>
  <c r="F53" i="1"/>
  <c r="G53" i="1" s="1"/>
  <c r="F45" i="1"/>
  <c r="G43" i="1"/>
  <c r="F47" i="1" l="1"/>
  <c r="G45" i="1"/>
  <c r="F49" i="1" l="1"/>
  <c r="G49" i="1" s="1"/>
  <c r="G47" i="1"/>
  <c r="G59" i="1" l="1"/>
  <c r="G60" i="1" s="1"/>
  <c r="G61" i="1" s="1"/>
  <c r="B61" i="1" s="1"/>
</calcChain>
</file>

<file path=xl/sharedStrings.xml><?xml version="1.0" encoding="utf-8"?>
<sst xmlns="http://schemas.openxmlformats.org/spreadsheetml/2006/main" count="125" uniqueCount="99">
  <si>
    <t>POWERHOUSE AGRIVENTURES LIMITED</t>
  </si>
  <si>
    <t>Quantity</t>
  </si>
  <si>
    <t>Description</t>
  </si>
  <si>
    <t>Total</t>
  </si>
  <si>
    <t>Sub total</t>
  </si>
  <si>
    <t>TAX INVOICE</t>
  </si>
  <si>
    <t>RD 2</t>
  </si>
  <si>
    <t>To:</t>
  </si>
  <si>
    <t>Date:</t>
  </si>
  <si>
    <t>GST Number:</t>
  </si>
  <si>
    <t>84-924-415</t>
  </si>
  <si>
    <t>Notes:</t>
  </si>
  <si>
    <t>c/- Brett Honeyfield &amp; Gabriel Marcroft</t>
  </si>
  <si>
    <t>R2Yr Heifers</t>
  </si>
  <si>
    <t>Invoice No.:</t>
  </si>
  <si>
    <t>Patea 4598</t>
  </si>
  <si>
    <t>Plus GST @ 15%</t>
  </si>
  <si>
    <t>Start Weight (kg)</t>
  </si>
  <si>
    <t>End Weight (kg)</t>
  </si>
  <si>
    <t>kgDM</t>
  </si>
  <si>
    <t>Rate
(c/kgDM)</t>
  </si>
  <si>
    <t>72A Powerhouse Road</t>
  </si>
  <si>
    <t>GRAZING INVOICE - END OF YEAR ADJUSTMENT</t>
  </si>
  <si>
    <t>Target</t>
  </si>
  <si>
    <t>per week</t>
  </si>
  <si>
    <t>Actual</t>
  </si>
  <si>
    <t>Difference</t>
  </si>
  <si>
    <t>Date weighed</t>
  </si>
  <si>
    <t>Weight</t>
  </si>
  <si>
    <t>Departure date</t>
  </si>
  <si>
    <t>Estimated leaving weight</t>
  </si>
  <si>
    <t>kg</t>
  </si>
  <si>
    <t>Rounding</t>
  </si>
  <si>
    <t>kg DM/day</t>
  </si>
  <si>
    <t>Last day in Farmax model</t>
  </si>
  <si>
    <t>Estimated weight at end of Farmax model</t>
  </si>
  <si>
    <t>kg DM to end of Farmax model</t>
  </si>
  <si>
    <t>kg DM</t>
  </si>
  <si>
    <t>Final kg DM</t>
  </si>
  <si>
    <t>Additional feed consumed after end of Farmax model</t>
  </si>
  <si>
    <t>Adjustments for changes in tallies - based on average per head rate</t>
  </si>
  <si>
    <t>Date On</t>
  </si>
  <si>
    <t>Date Off</t>
  </si>
  <si>
    <t>Days
Total</t>
  </si>
  <si>
    <t>Rate
($/week)</t>
  </si>
  <si>
    <t>days</t>
  </si>
  <si>
    <t>Start weight</t>
  </si>
  <si>
    <t>Target end weight</t>
  </si>
  <si>
    <t>Target kg DM</t>
  </si>
  <si>
    <t>Number of days between weighing and departure</t>
  </si>
  <si>
    <t>Estimated gain between weighing and departure</t>
  </si>
  <si>
    <t>Number of days between weighing and end of Farmax model</t>
  </si>
  <si>
    <t>Estimated gain between weighing and end of Farmax model</t>
  </si>
  <si>
    <t>Feed demand in April at 0.5 kg DM/day</t>
  </si>
  <si>
    <t>Number of days between end of Farmax model and departure</t>
  </si>
  <si>
    <t xml:space="preserve">3.  The feed model runs between 1 May and 30 April.  For heifers departing after 30 April the </t>
  </si>
  <si>
    <t xml:space="preserve">     actual feed consumed is manually adjusted by the daily intake for animals at the April</t>
  </si>
  <si>
    <t xml:space="preserve">     weight growing at 0.5kg/day multiplied by the number of days till departure.</t>
  </si>
  <si>
    <t>Charge for replacement EID tags</t>
  </si>
  <si>
    <t>Farmax model target kg DM</t>
  </si>
  <si>
    <t>Arrival date</t>
  </si>
  <si>
    <t>First day in Farmax model</t>
  </si>
  <si>
    <t>Tally</t>
  </si>
  <si>
    <t>Empty heifers</t>
  </si>
  <si>
    <t>50/50 Landowner/Sharemilker name</t>
  </si>
  <si>
    <t>Drench</t>
  </si>
  <si>
    <t>Breed</t>
  </si>
  <si>
    <t>Rate</t>
  </si>
  <si>
    <t>J</t>
  </si>
  <si>
    <t>XB</t>
  </si>
  <si>
    <t>F</t>
  </si>
  <si>
    <t>Bulls</t>
  </si>
  <si>
    <t>EID</t>
  </si>
  <si>
    <t>(Grazing for late arrivals not included in original invoice)</t>
  </si>
  <si>
    <t>Heifer 38</t>
  </si>
  <si>
    <t>(Credit for empty heifer 38 put down with injured hock but paid up till end of year)</t>
  </si>
  <si>
    <t>Eczema heifers</t>
  </si>
  <si>
    <t>(Credit for eczema heifers sent to ANZCO but paid up till end of year)</t>
  </si>
  <si>
    <t>(Credit for eczema &amp; dwarf heifers sent to ANZCO but paid up till end of year)</t>
  </si>
  <si>
    <t>Empty heifer</t>
  </si>
  <si>
    <t>(Credit for empty heifer sent to ANZCO but paid up till end of year)</t>
  </si>
  <si>
    <t>Charge for drench for late arriving heifers</t>
  </si>
  <si>
    <t>Charge for bulls for late arriving heifers</t>
  </si>
  <si>
    <t>Heifer 7</t>
  </si>
  <si>
    <t>(Credit for in-calf heifer sent to ANZCO but paid up till end of year)</t>
  </si>
  <si>
    <t>Late Arrivals</t>
  </si>
  <si>
    <t>(Credit for 1 x empty heifer sent home but paid up till end of year)</t>
  </si>
  <si>
    <t>2.  Payment can be made to "Powerhouse Agriventures Limited" by direct credit to</t>
  </si>
  <si>
    <t>ASB Bank 12-3174-0221923-00</t>
  </si>
  <si>
    <t>Payment Reference</t>
  </si>
  <si>
    <t>LW</t>
  </si>
  <si>
    <t>Feed Requirement for 0.5kg/Day LWG</t>
  </si>
  <si>
    <t>Credit for missing heifer BLBK-16-042 to be deducted from next years invoice</t>
  </si>
  <si>
    <t>Silverdene Farms 2000 Ltd</t>
  </si>
  <si>
    <t>c/- Mark &amp; Viv Henderson</t>
  </si>
  <si>
    <t>282 Wortley Road</t>
  </si>
  <si>
    <t>RD3</t>
  </si>
  <si>
    <t>New Plymouth 4373</t>
  </si>
  <si>
    <t>(Credit for 3 x empty heifers sent to SFF but paid up till end of 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</si>
</sst>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8" formatCode="&quot;$&quot;#,##0.00;[Red]\-&quot;$&quot;#,##0.00"/>
    <numFmt numFmtId="164" formatCode="d\ mmmm\ yyyy"/>
    <numFmt numFmtId="165" formatCode="#,##0.0_ ;[Red]\-#,##0.0\ "/>
    <numFmt numFmtId="166" formatCode="\+###;\-###"/>
    <numFmt numFmtId="167" formatCode="dd/mm/yyyy"/>
    <numFmt numFmtId="168" formatCode="&quot;$&quot;#,##0.00"/>
  </numFmts>
  <fonts count="11" x14ac:knownFonts="1">
    <font>
      <sz val="1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1.5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2" fillId="0" borderId="1" xfId="0" applyFont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justify" vertical="top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" fontId="1" fillId="0" borderId="0" xfId="0" applyNumberFormat="1" applyFont="1" applyBorder="1" applyAlignment="1">
      <alignment horizontal="center" vertical="top"/>
    </xf>
    <xf numFmtId="8" fontId="1" fillId="0" borderId="4" xfId="0" applyNumberFormat="1" applyFont="1" applyBorder="1" applyAlignment="1">
      <alignment horizontal="center" vertical="top"/>
    </xf>
    <xf numFmtId="8" fontId="1" fillId="0" borderId="5" xfId="0" applyNumberFormat="1" applyFont="1" applyBorder="1" applyAlignment="1">
      <alignment horizontal="right" vertical="top"/>
    </xf>
    <xf numFmtId="0" fontId="4" fillId="0" borderId="0" xfId="0" applyFont="1" applyAlignment="1">
      <alignment horizontal="left" vertical="center"/>
    </xf>
    <xf numFmtId="0" fontId="6" fillId="0" borderId="6" xfId="0" applyFont="1" applyBorder="1" applyAlignment="1">
      <alignment horizontal="centerContinuous" vertical="center"/>
    </xf>
    <xf numFmtId="14" fontId="6" fillId="0" borderId="0" xfId="0" applyNumberFormat="1" applyFont="1" applyAlignment="1">
      <alignment horizontal="right" vertical="top"/>
    </xf>
    <xf numFmtId="0" fontId="6" fillId="0" borderId="0" xfId="0" quotePrefix="1" applyFont="1" applyAlignment="1">
      <alignment horizontal="right" vertical="top"/>
    </xf>
    <xf numFmtId="164" fontId="1" fillId="0" borderId="0" xfId="0" applyNumberFormat="1" applyFont="1" applyBorder="1" applyAlignment="1">
      <alignment horizontal="left" vertical="top"/>
    </xf>
    <xf numFmtId="0" fontId="1" fillId="0" borderId="7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8" fontId="1" fillId="0" borderId="4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8" fontId="1" fillId="0" borderId="9" xfId="0" applyNumberFormat="1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1" fillId="0" borderId="3" xfId="0" applyFont="1" applyBorder="1" applyAlignment="1">
      <alignment horizontal="left" vertical="top"/>
    </xf>
    <xf numFmtId="0" fontId="1" fillId="0" borderId="2" xfId="0" applyFont="1" applyBorder="1" applyAlignment="1">
      <alignment horizontal="justify" vertical="top"/>
    </xf>
    <xf numFmtId="0" fontId="1" fillId="0" borderId="12" xfId="0" applyFont="1" applyBorder="1" applyAlignment="1">
      <alignment horizontal="justify" vertical="top"/>
    </xf>
    <xf numFmtId="0" fontId="1" fillId="0" borderId="13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left" vertical="top"/>
    </xf>
    <xf numFmtId="164" fontId="1" fillId="0" borderId="12" xfId="0" applyNumberFormat="1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top"/>
    </xf>
    <xf numFmtId="1" fontId="1" fillId="0" borderId="0" xfId="0" applyNumberFormat="1" applyFont="1" applyBorder="1" applyAlignment="1">
      <alignment horizontal="right" vertical="top"/>
    </xf>
    <xf numFmtId="1" fontId="1" fillId="0" borderId="4" xfId="0" applyNumberFormat="1" applyFont="1" applyBorder="1" applyAlignment="1">
      <alignment horizontal="right" vertical="top"/>
    </xf>
    <xf numFmtId="0" fontId="1" fillId="0" borderId="12" xfId="0" applyFont="1" applyBorder="1" applyAlignment="1">
      <alignment horizontal="center" vertical="top" wrapText="1"/>
    </xf>
    <xf numFmtId="0" fontId="1" fillId="0" borderId="13" xfId="0" applyFont="1" applyBorder="1" applyAlignment="1">
      <alignment horizontal="center" vertical="top"/>
    </xf>
    <xf numFmtId="0" fontId="1" fillId="0" borderId="0" xfId="0" applyFont="1" applyBorder="1" applyAlignment="1">
      <alignment horizontal="justify" vertical="top"/>
    </xf>
    <xf numFmtId="0" fontId="1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 vertical="top"/>
    </xf>
    <xf numFmtId="0" fontId="1" fillId="0" borderId="11" xfId="0" applyFont="1" applyBorder="1" applyAlignment="1">
      <alignment horizontal="justify" vertical="top"/>
    </xf>
    <xf numFmtId="0" fontId="1" fillId="0" borderId="11" xfId="0" applyFont="1" applyBorder="1" applyAlignment="1">
      <alignment horizontal="center" vertical="top" wrapText="1"/>
    </xf>
    <xf numFmtId="0" fontId="1" fillId="0" borderId="14" xfId="0" applyFont="1" applyBorder="1" applyAlignment="1">
      <alignment horizontal="center" vertical="top"/>
    </xf>
    <xf numFmtId="0" fontId="1" fillId="0" borderId="0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3" xfId="0" applyFont="1" applyBorder="1" applyAlignment="1">
      <alignment horizontal="left" vertical="top"/>
    </xf>
    <xf numFmtId="0" fontId="1" fillId="0" borderId="14" xfId="0" applyFont="1" applyBorder="1" applyAlignment="1">
      <alignment horizontal="left" vertical="top"/>
    </xf>
    <xf numFmtId="165" fontId="1" fillId="0" borderId="0" xfId="0" applyNumberFormat="1" applyFont="1" applyBorder="1" applyAlignment="1">
      <alignment horizontal="center" vertical="top"/>
    </xf>
    <xf numFmtId="8" fontId="1" fillId="0" borderId="0" xfId="0" applyNumberFormat="1" applyFont="1" applyBorder="1" applyAlignment="1">
      <alignment horizontal="right" vertical="top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15" xfId="0" applyFont="1" applyBorder="1" applyAlignment="1">
      <alignment horizontal="justify" vertical="center"/>
    </xf>
    <xf numFmtId="0" fontId="1" fillId="0" borderId="6" xfId="0" applyFont="1" applyBorder="1" applyAlignment="1">
      <alignment horizontal="justify" vertical="center"/>
    </xf>
    <xf numFmtId="0" fontId="1" fillId="0" borderId="16" xfId="0" applyFont="1" applyBorder="1" applyAlignment="1">
      <alignment horizontal="center" vertical="center" wrapText="1"/>
    </xf>
    <xf numFmtId="3" fontId="1" fillId="0" borderId="6" xfId="0" applyNumberFormat="1" applyFont="1" applyBorder="1" applyAlignment="1">
      <alignment horizontal="center" vertical="top"/>
    </xf>
    <xf numFmtId="165" fontId="1" fillId="0" borderId="16" xfId="0" applyNumberFormat="1" applyFont="1" applyBorder="1" applyAlignment="1">
      <alignment horizontal="center" vertical="top"/>
    </xf>
    <xf numFmtId="8" fontId="1" fillId="0" borderId="15" xfId="0" applyNumberFormat="1" applyFont="1" applyBorder="1" applyAlignment="1">
      <alignment horizontal="right" vertical="top"/>
    </xf>
    <xf numFmtId="0" fontId="1" fillId="0" borderId="13" xfId="0" applyFont="1" applyBorder="1" applyAlignment="1">
      <alignment horizontal="justify" vertical="top"/>
    </xf>
    <xf numFmtId="164" fontId="1" fillId="0" borderId="13" xfId="0" applyNumberFormat="1" applyFont="1" applyBorder="1" applyAlignment="1">
      <alignment horizontal="left" vertical="top"/>
    </xf>
    <xf numFmtId="164" fontId="1" fillId="0" borderId="5" xfId="0" applyNumberFormat="1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0" borderId="8" xfId="0" applyFont="1" applyBorder="1" applyAlignment="1">
      <alignment vertical="center"/>
    </xf>
    <xf numFmtId="0" fontId="1" fillId="0" borderId="12" xfId="0" applyFont="1" applyBorder="1" applyAlignment="1">
      <alignment horizontal="left" vertical="center"/>
    </xf>
    <xf numFmtId="8" fontId="1" fillId="0" borderId="8" xfId="0" applyNumberFormat="1" applyFont="1" applyBorder="1" applyAlignment="1">
      <alignment horizontal="right" vertical="center"/>
    </xf>
    <xf numFmtId="0" fontId="1" fillId="0" borderId="5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justify" vertical="top"/>
    </xf>
    <xf numFmtId="0" fontId="1" fillId="0" borderId="6" xfId="0" applyFont="1" applyBorder="1" applyAlignment="1">
      <alignment horizontal="justify" vertical="top"/>
    </xf>
    <xf numFmtId="0" fontId="1" fillId="0" borderId="6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0" borderId="15" xfId="0" applyFont="1" applyBorder="1" applyAlignment="1">
      <alignment horizontal="center" vertical="top"/>
    </xf>
    <xf numFmtId="164" fontId="1" fillId="0" borderId="4" xfId="0" applyNumberFormat="1" applyFont="1" applyBorder="1" applyAlignment="1">
      <alignment horizontal="left" vertical="top"/>
    </xf>
    <xf numFmtId="0" fontId="1" fillId="0" borderId="10" xfId="0" applyFont="1" applyBorder="1" applyAlignment="1">
      <alignment horizontal="center" vertical="top"/>
    </xf>
    <xf numFmtId="164" fontId="1" fillId="0" borderId="11" xfId="0" applyNumberFormat="1" applyFont="1" applyBorder="1" applyAlignment="1">
      <alignment horizontal="left" vertical="top"/>
    </xf>
    <xf numFmtId="164" fontId="1" fillId="0" borderId="9" xfId="0" applyNumberFormat="1" applyFont="1" applyBorder="1" applyAlignment="1">
      <alignment horizontal="left" vertical="top"/>
    </xf>
    <xf numFmtId="1" fontId="1" fillId="0" borderId="11" xfId="0" applyNumberFormat="1" applyFont="1" applyBorder="1" applyAlignment="1">
      <alignment horizontal="center" vertical="top"/>
    </xf>
    <xf numFmtId="8" fontId="1" fillId="0" borderId="9" xfId="0" applyNumberFormat="1" applyFont="1" applyBorder="1" applyAlignment="1">
      <alignment horizontal="center" vertical="top"/>
    </xf>
    <xf numFmtId="8" fontId="1" fillId="0" borderId="14" xfId="0" applyNumberFormat="1" applyFont="1" applyBorder="1" applyAlignment="1">
      <alignment horizontal="right" vertical="top"/>
    </xf>
    <xf numFmtId="167" fontId="8" fillId="0" borderId="0" xfId="0" applyNumberFormat="1" applyFont="1" applyAlignment="1">
      <alignment vertical="center"/>
    </xf>
    <xf numFmtId="0" fontId="8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8" fontId="1" fillId="0" borderId="0" xfId="0" applyNumberFormat="1" applyFont="1" applyBorder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167" fontId="9" fillId="0" borderId="0" xfId="0" applyNumberFormat="1" applyFont="1" applyAlignment="1">
      <alignment vertical="center"/>
    </xf>
    <xf numFmtId="3" fontId="9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1" fillId="0" borderId="7" xfId="0" applyFont="1" applyBorder="1" applyAlignment="1">
      <alignment horizontal="left" vertical="top"/>
    </xf>
    <xf numFmtId="164" fontId="1" fillId="0" borderId="6" xfId="0" applyNumberFormat="1" applyFont="1" applyBorder="1" applyAlignment="1">
      <alignment horizontal="left" vertical="top"/>
    </xf>
    <xf numFmtId="1" fontId="1" fillId="0" borderId="15" xfId="0" applyNumberFormat="1" applyFont="1" applyBorder="1" applyAlignment="1">
      <alignment horizontal="center" vertical="top"/>
    </xf>
    <xf numFmtId="8" fontId="1" fillId="0" borderId="15" xfId="0" applyNumberFormat="1" applyFont="1" applyBorder="1" applyAlignment="1">
      <alignment horizontal="center" vertical="top"/>
    </xf>
    <xf numFmtId="8" fontId="1" fillId="0" borderId="15" xfId="0" quotePrefix="1" applyNumberFormat="1" applyFont="1" applyBorder="1" applyAlignment="1">
      <alignment horizontal="center" vertical="top"/>
    </xf>
    <xf numFmtId="8" fontId="1" fillId="0" borderId="6" xfId="0" applyNumberFormat="1" applyFont="1" applyBorder="1" applyAlignment="1">
      <alignment horizontal="center" vertical="center"/>
    </xf>
    <xf numFmtId="8" fontId="1" fillId="0" borderId="6" xfId="0" applyNumberFormat="1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3" fontId="6" fillId="0" borderId="0" xfId="0" applyNumberFormat="1" applyFont="1" applyAlignment="1">
      <alignment vertical="center"/>
    </xf>
    <xf numFmtId="3" fontId="1" fillId="0" borderId="4" xfId="0" applyNumberFormat="1" applyFont="1" applyBorder="1" applyAlignment="1">
      <alignment horizontal="right" vertical="top"/>
    </xf>
    <xf numFmtId="0" fontId="1" fillId="0" borderId="8" xfId="0" applyFont="1" applyBorder="1" applyAlignment="1">
      <alignment horizontal="left" vertical="top"/>
    </xf>
    <xf numFmtId="164" fontId="1" fillId="0" borderId="8" xfId="0" applyNumberFormat="1" applyFont="1" applyBorder="1" applyAlignment="1">
      <alignment horizontal="left" vertical="top"/>
    </xf>
    <xf numFmtId="1" fontId="1" fillId="0" borderId="12" xfId="0" applyNumberFormat="1" applyFont="1" applyBorder="1" applyAlignment="1">
      <alignment horizontal="center" vertical="top"/>
    </xf>
    <xf numFmtId="8" fontId="1" fillId="0" borderId="8" xfId="0" applyNumberFormat="1" applyFont="1" applyBorder="1" applyAlignment="1">
      <alignment horizontal="center" vertical="top"/>
    </xf>
    <xf numFmtId="8" fontId="1" fillId="0" borderId="13" xfId="0" applyNumberFormat="1" applyFont="1" applyBorder="1" applyAlignment="1">
      <alignment horizontal="right" vertical="top"/>
    </xf>
    <xf numFmtId="8" fontId="1" fillId="0" borderId="0" xfId="0" applyNumberFormat="1" applyFont="1" applyBorder="1" applyAlignment="1">
      <alignment horizontal="center" vertical="top"/>
    </xf>
    <xf numFmtId="0" fontId="1" fillId="0" borderId="11" xfId="0" applyFont="1" applyBorder="1" applyAlignment="1">
      <alignment vertical="center"/>
    </xf>
    <xf numFmtId="8" fontId="1" fillId="0" borderId="11" xfId="0" applyNumberFormat="1" applyFont="1" applyBorder="1" applyAlignment="1">
      <alignment horizontal="center" vertical="top"/>
    </xf>
    <xf numFmtId="0" fontId="1" fillId="0" borderId="7" xfId="0" applyFont="1" applyBorder="1" applyAlignment="1">
      <alignment horizontal="center" vertical="center"/>
    </xf>
    <xf numFmtId="166" fontId="1" fillId="0" borderId="16" xfId="0" applyNumberFormat="1" applyFont="1" applyBorder="1" applyAlignment="1">
      <alignment horizontal="right" vertical="center"/>
    </xf>
    <xf numFmtId="0" fontId="1" fillId="0" borderId="12" xfId="0" applyFont="1" applyBorder="1" applyAlignment="1">
      <alignment vertical="center"/>
    </xf>
    <xf numFmtId="8" fontId="1" fillId="0" borderId="12" xfId="0" applyNumberFormat="1" applyFont="1" applyBorder="1" applyAlignment="1">
      <alignment horizontal="center" vertical="top"/>
    </xf>
    <xf numFmtId="0" fontId="6" fillId="0" borderId="10" xfId="0" applyFont="1" applyBorder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3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Font="1" applyBorder="1" applyAlignment="1">
      <alignment vertical="center"/>
    </xf>
    <xf numFmtId="0" fontId="10" fillId="0" borderId="7" xfId="0" applyFont="1" applyBorder="1" applyAlignment="1">
      <alignment horizontal="center" vertical="top"/>
    </xf>
    <xf numFmtId="0" fontId="10" fillId="0" borderId="16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2" fontId="0" fillId="0" borderId="0" xfId="0" applyNumberFormat="1" applyFont="1" applyAlignment="1">
      <alignment vertical="center"/>
    </xf>
    <xf numFmtId="1" fontId="1" fillId="0" borderId="6" xfId="0" applyNumberFormat="1" applyFont="1" applyBorder="1" applyAlignment="1">
      <alignment horizontal="right" vertical="top"/>
    </xf>
    <xf numFmtId="1" fontId="1" fillId="0" borderId="15" xfId="0" applyNumberFormat="1" applyFont="1" applyBorder="1" applyAlignment="1">
      <alignment horizontal="right" vertical="top"/>
    </xf>
    <xf numFmtId="0" fontId="6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167" fontId="6" fillId="0" borderId="0" xfId="0" applyNumberFormat="1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3" xfId="0" applyBorder="1" applyAlignment="1">
      <alignment vertical="center"/>
    </xf>
    <xf numFmtId="168" fontId="0" fillId="0" borderId="4" xfId="0" applyNumberFormat="1" applyBorder="1" applyAlignment="1">
      <alignment vertical="center"/>
    </xf>
    <xf numFmtId="168" fontId="0" fillId="0" borderId="9" xfId="0" applyNumberFormat="1" applyBorder="1" applyAlignment="1">
      <alignment vertical="center"/>
    </xf>
    <xf numFmtId="168" fontId="0" fillId="0" borderId="16" xfId="0" applyNumberFormat="1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7" fillId="0" borderId="0" xfId="0" applyFont="1" applyAlignment="1">
      <alignment vertical="center"/>
    </xf>
    <xf numFmtId="0" fontId="1" fillId="0" borderId="7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0" fillId="0" borderId="0" xfId="0" applyFont="1" applyAlignment="1">
      <alignment vertical="top"/>
    </xf>
    <xf numFmtId="3" fontId="0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!!Data/Template/Excel/Addins/Lookup%20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ear Interpolation"/>
      <sheetName val="InterpolationFunctions"/>
      <sheetName val="Logarithmic Interpolation"/>
      <sheetName val="LogLinear Interpolation"/>
      <sheetName val="LinearLog Interpolation"/>
      <sheetName val="4 Way Linear Interpolation"/>
      <sheetName val="FourwayInterpolationFunctions"/>
      <sheetName val="4 Way Logarithmic Interpolation"/>
      <sheetName val="4 Way LogLinear Interpolation"/>
      <sheetName val="4 Way LinearLog Interpolation"/>
      <sheetName val="4 Way Lookup Linear Interp"/>
      <sheetName val="4 Way Lookup Log Interp"/>
      <sheetName val="4 Way Lookup LogLinear Interp"/>
      <sheetName val="4 Way Lookup LinearLog Interp"/>
      <sheetName val="Row Lookup"/>
      <sheetName val="Row Lookup &amp; Interpolation"/>
      <sheetName val="Column Lookup &amp; Interpolation"/>
      <sheetName val="FourwayLookupInterpolationFunct"/>
    </sheetNames>
    <definedNames>
      <definedName name="column_lookup_interpolation"/>
    </definedNames>
    <sheetDataSet>
      <sheetData sheetId="0"/>
      <sheetData sheetId="2"/>
      <sheetData sheetId="3"/>
      <sheetData sheetId="4"/>
      <sheetData sheetId="5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5"/>
  <sheetViews>
    <sheetView showGridLines="0" tabSelected="1" workbookViewId="0"/>
  </sheetViews>
  <sheetFormatPr defaultRowHeight="12.75" x14ac:dyDescent="0.2"/>
  <cols>
    <col min="1" max="1" width="7.33203125" style="5" customWidth="1"/>
    <col min="2" max="2" width="12.77734375" style="5" customWidth="1"/>
    <col min="3" max="3" width="14" style="5" customWidth="1"/>
    <col min="4" max="4" width="13.21875" style="5" customWidth="1"/>
    <col min="5" max="5" width="6.88671875" style="5" customWidth="1"/>
    <col min="6" max="6" width="8.88671875" style="5"/>
    <col min="7" max="7" width="10.33203125" style="5" customWidth="1"/>
    <col min="8" max="8" width="4.44140625" style="5" customWidth="1"/>
    <col min="9" max="9" width="56.109375" style="5" customWidth="1"/>
    <col min="10" max="10" width="12.109375" style="5" customWidth="1"/>
    <col min="11" max="13" width="8.88671875" style="5"/>
    <col min="14" max="14" width="18" style="5" customWidth="1"/>
    <col min="15" max="16384" width="8.88671875" style="5"/>
  </cols>
  <sheetData>
    <row r="1" spans="1:11" s="4" customFormat="1" ht="21" thickBot="1" x14ac:dyDescent="0.25">
      <c r="A1" s="1" t="s">
        <v>0</v>
      </c>
      <c r="B1" s="3"/>
      <c r="C1" s="3"/>
      <c r="D1" s="3"/>
      <c r="E1" s="3"/>
      <c r="F1" s="3"/>
      <c r="G1" s="3"/>
      <c r="H1" s="90"/>
      <c r="I1" s="7" t="s">
        <v>60</v>
      </c>
      <c r="J1" s="88">
        <v>42860</v>
      </c>
    </row>
    <row r="2" spans="1:11" s="7" customFormat="1" ht="15.75" thickTop="1" x14ac:dyDescent="0.2">
      <c r="I2" s="7" t="s">
        <v>62</v>
      </c>
      <c r="J2" s="92">
        <v>64</v>
      </c>
    </row>
    <row r="3" spans="1:11" s="7" customFormat="1" ht="15" x14ac:dyDescent="0.2">
      <c r="A3" s="8" t="s">
        <v>12</v>
      </c>
      <c r="G3" s="9" t="s">
        <v>5</v>
      </c>
      <c r="H3" s="9"/>
      <c r="I3" s="7" t="s">
        <v>46</v>
      </c>
      <c r="J3" s="92">
        <v>264</v>
      </c>
      <c r="K3" s="93" t="s">
        <v>31</v>
      </c>
    </row>
    <row r="4" spans="1:11" s="7" customFormat="1" ht="15" x14ac:dyDescent="0.2">
      <c r="A4" s="8" t="s">
        <v>21</v>
      </c>
      <c r="F4" s="9" t="s">
        <v>9</v>
      </c>
      <c r="G4" s="19" t="s">
        <v>10</v>
      </c>
      <c r="H4" s="19"/>
      <c r="I4" s="93" t="s">
        <v>47</v>
      </c>
      <c r="J4" s="92">
        <v>474</v>
      </c>
      <c r="K4" s="93" t="s">
        <v>31</v>
      </c>
    </row>
    <row r="5" spans="1:11" s="7" customFormat="1" ht="15" x14ac:dyDescent="0.2">
      <c r="A5" s="8" t="s">
        <v>6</v>
      </c>
      <c r="F5" s="9" t="s">
        <v>8</v>
      </c>
      <c r="G5" s="18">
        <v>43256</v>
      </c>
      <c r="H5" s="18"/>
      <c r="I5" s="137" t="s">
        <v>61</v>
      </c>
      <c r="J5" s="138">
        <v>42856</v>
      </c>
    </row>
    <row r="6" spans="1:11" s="7" customFormat="1" ht="15" x14ac:dyDescent="0.2">
      <c r="A6" s="8" t="s">
        <v>15</v>
      </c>
      <c r="B6" s="8"/>
      <c r="F6" s="31" t="s">
        <v>14</v>
      </c>
      <c r="G6" s="31" t="str">
        <f ca="1">MID(CELL("filename",A1),FIND("[",CELL("filename",A1))+1,8)</f>
        <v>GR-18032</v>
      </c>
      <c r="H6" s="31"/>
      <c r="I6" s="7" t="str">
        <f>IF(J1&lt;J5,"Number of days grazing before start of Farmax model","Arrived after start of Farmax model")</f>
        <v>Arrived after start of Farmax model</v>
      </c>
      <c r="J6" t="str">
        <f>IF(J1&lt;J5,J5-J1,"")</f>
        <v/>
      </c>
      <c r="K6" s="7" t="str">
        <f>IF(J1&lt;J5,"days","")</f>
        <v/>
      </c>
    </row>
    <row r="7" spans="1:11" s="7" customFormat="1" ht="15" x14ac:dyDescent="0.2">
      <c r="A7" s="8"/>
      <c r="B7" s="8"/>
      <c r="I7" s="137" t="str">
        <f>IF(J1&lt;J5,"Farmax feed demand for May @ 0.5 kg/day","Arrived after start of Farmax model - kgDM adjustment does not apply")</f>
        <v>Arrived after start of Farmax model - kgDM adjustment does not apply</v>
      </c>
      <c r="J7" s="92">
        <v>5.14</v>
      </c>
      <c r="K7" s="93" t="s">
        <v>33</v>
      </c>
    </row>
    <row r="8" spans="1:11" s="7" customFormat="1" ht="15" x14ac:dyDescent="0.2">
      <c r="A8" s="10" t="s">
        <v>7</v>
      </c>
      <c r="B8" s="151" t="s">
        <v>93</v>
      </c>
      <c r="I8" s="7" t="s">
        <v>59</v>
      </c>
      <c r="J8" s="97">
        <v>2845</v>
      </c>
      <c r="K8" s="7" t="s">
        <v>37</v>
      </c>
    </row>
    <row r="9" spans="1:11" s="7" customFormat="1" ht="15" x14ac:dyDescent="0.2">
      <c r="A9" s="10"/>
      <c r="B9" s="6" t="s">
        <v>94</v>
      </c>
      <c r="I9" s="93" t="str">
        <f>IF(J1&lt;J5,"Feed consumed before start of Farmax model","Arrived after start of Farmax model - kgDM adjustment does not apply")</f>
        <v>Arrived after start of Farmax model - kgDM adjustment does not apply</v>
      </c>
      <c r="J9" s="123">
        <f>IF(J1&lt;J5,ROUND(J7*J6,0),0)</f>
        <v>0</v>
      </c>
      <c r="K9" s="93" t="s">
        <v>37</v>
      </c>
    </row>
    <row r="10" spans="1:11" s="7" customFormat="1" ht="15" x14ac:dyDescent="0.2">
      <c r="A10" s="10"/>
      <c r="B10" s="6" t="s">
        <v>95</v>
      </c>
      <c r="I10" s="93" t="s">
        <v>48</v>
      </c>
      <c r="J10" s="107">
        <f>IF(J1&lt;J5,J8+J9,J8)</f>
        <v>2845</v>
      </c>
      <c r="K10" s="93" t="s">
        <v>37</v>
      </c>
    </row>
    <row r="11" spans="1:11" s="7" customFormat="1" ht="15" x14ac:dyDescent="0.2">
      <c r="A11" s="10"/>
      <c r="B11" s="6" t="s">
        <v>96</v>
      </c>
      <c r="I11" s="93" t="s">
        <v>27</v>
      </c>
      <c r="J11" s="88">
        <v>43208</v>
      </c>
      <c r="K11" s="93"/>
    </row>
    <row r="12" spans="1:11" s="7" customFormat="1" ht="15" x14ac:dyDescent="0.2">
      <c r="A12" s="10"/>
      <c r="B12" s="6" t="s">
        <v>97</v>
      </c>
      <c r="I12" s="126" t="s">
        <v>28</v>
      </c>
      <c r="J12" s="89">
        <v>464</v>
      </c>
      <c r="K12" s="93" t="s">
        <v>31</v>
      </c>
    </row>
    <row r="13" spans="1:11" s="7" customFormat="1" ht="15" x14ac:dyDescent="0.2">
      <c r="A13" s="10"/>
      <c r="B13" s="6"/>
      <c r="I13" s="93" t="s">
        <v>29</v>
      </c>
      <c r="J13" s="88">
        <v>43225</v>
      </c>
      <c r="K13" s="93"/>
    </row>
    <row r="14" spans="1:11" s="7" customFormat="1" ht="28.5" customHeight="1" x14ac:dyDescent="0.2">
      <c r="A14" s="17" t="s">
        <v>22</v>
      </c>
      <c r="B14" s="17"/>
      <c r="C14" s="17"/>
      <c r="D14" s="17"/>
      <c r="E14" s="17"/>
      <c r="F14" s="17"/>
      <c r="G14" s="17"/>
      <c r="H14" s="136"/>
      <c r="I14" s="94" t="s">
        <v>34</v>
      </c>
      <c r="J14" s="95">
        <v>43220</v>
      </c>
      <c r="K14" s="93"/>
    </row>
    <row r="15" spans="1:11" s="7" customFormat="1" ht="15" x14ac:dyDescent="0.2">
      <c r="A15" s="8"/>
      <c r="B15" s="8"/>
      <c r="I15" s="7" t="s">
        <v>49</v>
      </c>
      <c r="J15" s="137">
        <f>J13-J11</f>
        <v>17</v>
      </c>
      <c r="K15" s="7" t="s">
        <v>45</v>
      </c>
    </row>
    <row r="16" spans="1:11" s="2" customFormat="1" ht="15" x14ac:dyDescent="0.2">
      <c r="A16" s="58" t="s">
        <v>2</v>
      </c>
      <c r="B16" s="51"/>
      <c r="C16" s="59" t="s">
        <v>17</v>
      </c>
      <c r="D16" s="60" t="s">
        <v>18</v>
      </c>
      <c r="E16" s="61" t="s">
        <v>19</v>
      </c>
      <c r="F16" s="56"/>
      <c r="G16" s="57"/>
      <c r="H16" s="57"/>
      <c r="I16" s="94" t="s">
        <v>50</v>
      </c>
      <c r="J16" s="94">
        <f>J15*0.5</f>
        <v>8.5</v>
      </c>
      <c r="K16" s="93" t="s">
        <v>31</v>
      </c>
    </row>
    <row r="17" spans="1:14" s="2" customFormat="1" ht="15" x14ac:dyDescent="0.2">
      <c r="A17" s="36" t="s">
        <v>23</v>
      </c>
      <c r="B17" s="52"/>
      <c r="C17" s="40">
        <f>J3</f>
        <v>264</v>
      </c>
      <c r="D17" s="41">
        <f>J4</f>
        <v>474</v>
      </c>
      <c r="E17" s="108">
        <f>J10</f>
        <v>2845</v>
      </c>
      <c r="F17" s="54"/>
      <c r="G17" s="55"/>
      <c r="H17" s="55"/>
      <c r="I17" s="93" t="s">
        <v>32</v>
      </c>
      <c r="J17" s="93">
        <f>FLOOR(ABS(J16),1)</f>
        <v>8</v>
      </c>
      <c r="K17" s="93" t="s">
        <v>31</v>
      </c>
    </row>
    <row r="18" spans="1:14" s="2" customFormat="1" ht="15" x14ac:dyDescent="0.2">
      <c r="A18" s="38" t="s">
        <v>25</v>
      </c>
      <c r="B18" s="53"/>
      <c r="C18" s="40">
        <f>C17</f>
        <v>264</v>
      </c>
      <c r="D18" s="41">
        <f>J18</f>
        <v>472</v>
      </c>
      <c r="E18" s="108">
        <f>J27</f>
        <v>2895</v>
      </c>
      <c r="F18" s="54"/>
      <c r="G18" s="55"/>
      <c r="H18" s="55"/>
      <c r="I18" s="94" t="s">
        <v>30</v>
      </c>
      <c r="J18" s="93">
        <f>IF(J15&gt;0,J12+J17,J12-J17)</f>
        <v>472</v>
      </c>
      <c r="K18" s="93" t="s">
        <v>31</v>
      </c>
    </row>
    <row r="19" spans="1:14" s="2" customFormat="1" ht="15" x14ac:dyDescent="0.2">
      <c r="A19" s="117" t="s">
        <v>26</v>
      </c>
      <c r="B19" s="60"/>
      <c r="C19" s="59"/>
      <c r="D19" s="118">
        <f>D18-D17</f>
        <v>-2</v>
      </c>
      <c r="E19" s="118">
        <f>E18-E17</f>
        <v>50</v>
      </c>
      <c r="F19" s="56"/>
      <c r="G19" s="57"/>
      <c r="H19" s="57"/>
      <c r="I19" s="7" t="s">
        <v>51</v>
      </c>
      <c r="J19" s="137">
        <f>MIN(J14,J13)-J11</f>
        <v>12</v>
      </c>
      <c r="K19" s="7" t="s">
        <v>45</v>
      </c>
    </row>
    <row r="20" spans="1:14" s="2" customFormat="1" ht="15" x14ac:dyDescent="0.2">
      <c r="A20" s="36" t="str">
        <f>IF(J17&gt;0,CONCATENATE("End weight increased by 0.5kg/day from actual weighing on ",TEXT(J11,"d mmmm")," forward to departure"),"")</f>
        <v>End weight increased by 0.5kg/day from actual weighing on 18 April forward to departure</v>
      </c>
      <c r="B20" s="34"/>
      <c r="C20" s="34"/>
      <c r="D20" s="34"/>
      <c r="E20" s="42"/>
      <c r="F20" s="42"/>
      <c r="G20" s="43"/>
      <c r="H20" s="46"/>
      <c r="I20" s="94" t="s">
        <v>52</v>
      </c>
      <c r="J20" s="7">
        <f>J19*0.5</f>
        <v>6</v>
      </c>
      <c r="K20" s="7" t="s">
        <v>31</v>
      </c>
    </row>
    <row r="21" spans="1:14" s="50" customFormat="1" ht="15" x14ac:dyDescent="0.2">
      <c r="A21" s="32" t="str">
        <f>IF(J17&gt;0,CONCATENATE("date of ",TEXT(J13,"d mmmm"),".  ",J12,"kg + ",J17,"kg = ",J18,"kg"),"")</f>
        <v>date of 5 May.  464kg + 8kg = 472kg</v>
      </c>
      <c r="B21" s="44"/>
      <c r="C21" s="44"/>
      <c r="D21" s="44"/>
      <c r="E21" s="45"/>
      <c r="F21" s="45"/>
      <c r="G21" s="72"/>
      <c r="H21" s="46"/>
      <c r="I21" s="93" t="s">
        <v>32</v>
      </c>
      <c r="J21" s="93">
        <f>FLOOR(ABS(J20),1)</f>
        <v>6</v>
      </c>
      <c r="K21" s="93" t="s">
        <v>31</v>
      </c>
    </row>
    <row r="22" spans="1:14" s="50" customFormat="1" ht="15" x14ac:dyDescent="0.2">
      <c r="A22" s="36" t="str">
        <f>IF(J26&gt;0,CONCATENATE("End kg DM increased by ",TEXT(J24,"0.00"),"kg/head/day from last day of feed model on ",TEXT(J14,"d mmmm")," to departure"),"")</f>
        <v>End kg DM increased by 9.79kg/head/day from last day of feed model on 30 April to departure</v>
      </c>
      <c r="B22" s="34"/>
      <c r="C22" s="34"/>
      <c r="D22" s="34"/>
      <c r="E22" s="42"/>
      <c r="F22" s="42"/>
      <c r="G22" s="43"/>
      <c r="H22" s="46"/>
      <c r="I22" s="93" t="s">
        <v>35</v>
      </c>
      <c r="J22" s="98">
        <f>IF(J20&gt;0,J12+J21,J12-J21)</f>
        <v>470</v>
      </c>
      <c r="K22" s="93" t="s">
        <v>31</v>
      </c>
    </row>
    <row r="23" spans="1:14" s="50" customFormat="1" ht="15" x14ac:dyDescent="0.2">
      <c r="A23" s="32" t="str">
        <f>IF(J26&gt;0,CONCATENATE("date of ",TEXT(J13,"d mmmm"),".  ",TEXT(J23,"0,000"),"kg + ",J26,"kg = ",TEXT(J27,"0,000"),"kg"),"")</f>
        <v>date of 5 May.  2,846kg + 49kg = 2,895kg</v>
      </c>
      <c r="B23" s="44"/>
      <c r="C23" s="44"/>
      <c r="D23" s="44"/>
      <c r="E23" s="45"/>
      <c r="F23" s="45"/>
      <c r="G23" s="72"/>
      <c r="H23" s="46"/>
      <c r="I23" s="93" t="s">
        <v>36</v>
      </c>
      <c r="J23" s="97">
        <v>2846</v>
      </c>
      <c r="K23" s="93" t="s">
        <v>37</v>
      </c>
    </row>
    <row r="24" spans="1:14" s="2" customFormat="1" ht="15" hidden="1" x14ac:dyDescent="0.2">
      <c r="A24" s="36" t="str">
        <f>IF(J9&gt;0,CONCATENATE("Feed model calculated kg DM increased by ",TEXT(J7,"0.00"),"kg DM/head/day from arrival on ",TEXT(J1,"d mmmm")," to the start of the"),"")</f>
        <v/>
      </c>
      <c r="B24" s="34"/>
      <c r="C24" s="34"/>
      <c r="D24" s="34"/>
      <c r="E24" s="42"/>
      <c r="F24" s="42"/>
      <c r="G24" s="43"/>
      <c r="I24" s="93" t="s">
        <v>53</v>
      </c>
      <c r="J24" s="133">
        <f>[1]!column_lookup_interpolation(J22,N31,M31:N46,)</f>
        <v>9.7850000000000001</v>
      </c>
      <c r="K24" s="93" t="s">
        <v>33</v>
      </c>
    </row>
    <row r="25" spans="1:14" s="2" customFormat="1" ht="15" hidden="1" x14ac:dyDescent="0.2">
      <c r="A25" s="38" t="str">
        <f>IF(J9&gt;0,CONCATENATE("feed model on ",TEXT(J5,"d mmmm"),".  ",TEXT(J23,"0,000"),"kg + ",TEXT(J9,"#"),"kg = ",TEXT(J27,"0,000"),"kg"),"")</f>
        <v/>
      </c>
      <c r="B25" s="47"/>
      <c r="C25" s="47"/>
      <c r="D25" s="47"/>
      <c r="E25" s="48"/>
      <c r="F25" s="48"/>
      <c r="G25" s="49"/>
      <c r="I25" s="7" t="s">
        <v>54</v>
      </c>
      <c r="J25" s="137">
        <f>IF(J13&lt;=J14,0,J13-J14)</f>
        <v>5</v>
      </c>
      <c r="K25" s="7" t="s">
        <v>45</v>
      </c>
    </row>
    <row r="26" spans="1:14" s="2" customFormat="1" ht="15" hidden="1" x14ac:dyDescent="0.2">
      <c r="A26" s="36" t="str">
        <f>IF(J30&lt;&gt;"",CONCATENATE(J2," heifers in total"),"")</f>
        <v/>
      </c>
      <c r="B26" s="119"/>
      <c r="C26" s="37"/>
      <c r="D26" s="37"/>
      <c r="E26" s="111"/>
      <c r="F26" s="120"/>
      <c r="G26" s="113"/>
      <c r="I26" s="93" t="s">
        <v>39</v>
      </c>
      <c r="J26" s="98">
        <f>ROUND(J25*J24,0)</f>
        <v>49</v>
      </c>
      <c r="K26" s="93" t="s">
        <v>37</v>
      </c>
    </row>
    <row r="27" spans="1:14" s="2" customFormat="1" ht="15" hidden="1" x14ac:dyDescent="0.2">
      <c r="A27" s="32" t="str">
        <f>IF(J30&lt;&gt;"",CONCATENATE(J2/2," invoiced to ",B8),"")</f>
        <v/>
      </c>
      <c r="B27" s="50"/>
      <c r="C27" s="20"/>
      <c r="D27" s="20"/>
      <c r="E27" s="13"/>
      <c r="F27" s="114"/>
      <c r="G27" s="15"/>
      <c r="H27" s="50"/>
      <c r="I27" s="93" t="s">
        <v>38</v>
      </c>
      <c r="J27" s="96">
        <f>J9+J23+J26</f>
        <v>2895</v>
      </c>
      <c r="K27" s="93" t="s">
        <v>37</v>
      </c>
    </row>
    <row r="28" spans="1:14" s="2" customFormat="1" ht="15" hidden="1" x14ac:dyDescent="0.2">
      <c r="A28" s="38" t="str">
        <f>IF(J30&lt;&gt;"",CONCATENATE(J2/2," invoiced to ",J30),"")</f>
        <v/>
      </c>
      <c r="B28" s="115"/>
      <c r="C28" s="83"/>
      <c r="D28" s="83"/>
      <c r="E28" s="85"/>
      <c r="F28" s="116"/>
      <c r="G28" s="87"/>
      <c r="I28" s="137"/>
      <c r="J28" s="137"/>
      <c r="K28" s="137"/>
    </row>
    <row r="29" spans="1:14" s="2" customFormat="1" ht="32.25" customHeight="1" x14ac:dyDescent="0.2">
      <c r="A29" s="149" t="str">
        <f>CONCATENATE("Average per head rate for the whole year  ", TEXT(E18,"#,###")," kgDM x ",F32,"c/kgDM = (used for adjustments below)")</f>
        <v>Average per head rate for the whole year  2,895 kgDM x 21c/kgDM = (used for adjustments below)</v>
      </c>
      <c r="B29" s="150"/>
      <c r="C29" s="150"/>
      <c r="D29" s="150"/>
      <c r="E29" s="104">
        <f>E18*F32/100</f>
        <v>607.95000000000005</v>
      </c>
      <c r="F29" s="105">
        <f>E29/52</f>
        <v>11.691346153846155</v>
      </c>
      <c r="G29" s="106" t="s">
        <v>24</v>
      </c>
      <c r="H29" s="50"/>
      <c r="I29" s="137" t="s">
        <v>89</v>
      </c>
      <c r="J29" s="152" t="str">
        <f ca="1">MID(MID(CELL("filename",A1),SEARCH("[",CELL("filename",A1))+1,SEARCH(".",CELL("filename",A1))-1-SEARCH("[",CELL("filename",A1))),10,SEARCH("final.",CELL("filename",A1))-SEARCH("[",CELL("filename",A1))-10-1)</f>
        <v>Henderson</v>
      </c>
    </row>
    <row r="30" spans="1:14" s="50" customFormat="1" ht="15" x14ac:dyDescent="0.2">
      <c r="A30" s="46"/>
      <c r="B30" s="44"/>
      <c r="C30" s="44"/>
      <c r="D30" s="44"/>
      <c r="E30" s="45"/>
      <c r="F30" s="45"/>
      <c r="G30" s="46"/>
      <c r="H30" s="46"/>
      <c r="I30" s="137" t="s">
        <v>64</v>
      </c>
      <c r="J30" s="124"/>
      <c r="K30" s="137"/>
    </row>
    <row r="31" spans="1:14" s="2" customFormat="1" ht="25.5" x14ac:dyDescent="0.2">
      <c r="A31" s="11" t="s">
        <v>1</v>
      </c>
      <c r="B31" s="33" t="s">
        <v>2</v>
      </c>
      <c r="C31" s="34"/>
      <c r="D31" s="65"/>
      <c r="E31" s="35" t="s">
        <v>19</v>
      </c>
      <c r="F31" s="22" t="s">
        <v>20</v>
      </c>
      <c r="G31" s="43" t="s">
        <v>3</v>
      </c>
      <c r="H31" s="46"/>
      <c r="I31" s="137" t="s">
        <v>66</v>
      </c>
      <c r="J31" s="125" t="s">
        <v>69</v>
      </c>
      <c r="M31" s="127" t="s">
        <v>90</v>
      </c>
      <c r="N31" s="128" t="s">
        <v>91</v>
      </c>
    </row>
    <row r="32" spans="1:14" s="2" customFormat="1" x14ac:dyDescent="0.2">
      <c r="A32" s="21">
        <f>IF(J30&lt;&gt;"",J2/2,J2)</f>
        <v>64</v>
      </c>
      <c r="B32" s="99" t="s">
        <v>13</v>
      </c>
      <c r="C32" s="134"/>
      <c r="D32" s="135"/>
      <c r="E32" s="62">
        <f>E19</f>
        <v>50</v>
      </c>
      <c r="F32" s="63">
        <v>21</v>
      </c>
      <c r="G32" s="64">
        <f>IF(A32&gt;0,ROUND(A32*E32*F32/100,2),"")</f>
        <v>672</v>
      </c>
      <c r="H32" s="55"/>
      <c r="J32" s="50"/>
      <c r="K32" s="50"/>
      <c r="M32" s="129">
        <v>300</v>
      </c>
      <c r="N32" s="130">
        <v>6.96</v>
      </c>
    </row>
    <row r="33" spans="1:14" s="2" customFormat="1" ht="15" x14ac:dyDescent="0.2">
      <c r="A33" s="36"/>
      <c r="B33" s="36"/>
      <c r="C33" s="37"/>
      <c r="D33" s="66"/>
      <c r="E33" s="13"/>
      <c r="F33" s="14"/>
      <c r="G33" s="15"/>
      <c r="H33" s="55"/>
      <c r="J33" s="139" t="s">
        <v>65</v>
      </c>
      <c r="K33" s="140"/>
      <c r="M33" s="129">
        <v>320</v>
      </c>
      <c r="N33" s="130">
        <v>7.3</v>
      </c>
    </row>
    <row r="34" spans="1:14" s="2" customFormat="1" ht="15" hidden="1" x14ac:dyDescent="0.2">
      <c r="A34" s="32"/>
      <c r="B34" s="32"/>
      <c r="C34" s="20"/>
      <c r="D34" s="67"/>
      <c r="E34" s="13"/>
      <c r="F34" s="14"/>
      <c r="G34" s="15"/>
      <c r="H34" s="55"/>
      <c r="I34" s="50"/>
      <c r="J34" s="141" t="s">
        <v>66</v>
      </c>
      <c r="K34" s="142" t="s">
        <v>67</v>
      </c>
      <c r="M34" s="129">
        <v>340</v>
      </c>
      <c r="N34" s="130">
        <v>7.63</v>
      </c>
    </row>
    <row r="35" spans="1:14" s="2" customFormat="1" ht="15" hidden="1" x14ac:dyDescent="0.2">
      <c r="A35" s="38"/>
      <c r="B35" s="32"/>
      <c r="C35" s="20"/>
      <c r="D35" s="67"/>
      <c r="E35" s="13"/>
      <c r="F35" s="14"/>
      <c r="G35" s="15"/>
      <c r="H35" s="55"/>
      <c r="J35" s="143" t="s">
        <v>68</v>
      </c>
      <c r="K35" s="144">
        <v>12.27</v>
      </c>
      <c r="M35" s="129">
        <v>360</v>
      </c>
      <c r="N35" s="130">
        <v>7.96</v>
      </c>
    </row>
    <row r="36" spans="1:14" s="2" customFormat="1" ht="15" hidden="1" x14ac:dyDescent="0.2">
      <c r="A36" s="21">
        <v>0</v>
      </c>
      <c r="B36" s="99" t="s">
        <v>58</v>
      </c>
      <c r="C36" s="100"/>
      <c r="D36" s="100"/>
      <c r="E36" s="101"/>
      <c r="F36" s="102">
        <f>K40</f>
        <v>5</v>
      </c>
      <c r="G36" s="64" t="str">
        <f>IF(A36&gt;0,ROUND(A36*F36,2),"")</f>
        <v/>
      </c>
      <c r="J36" s="143" t="s">
        <v>69</v>
      </c>
      <c r="K36" s="144">
        <v>13.44</v>
      </c>
      <c r="M36" s="129">
        <v>380</v>
      </c>
      <c r="N36" s="130">
        <v>8.2899999999999991</v>
      </c>
    </row>
    <row r="37" spans="1:14" s="2" customFormat="1" ht="26.25" customHeight="1" x14ac:dyDescent="0.2">
      <c r="A37" s="73" t="s">
        <v>40</v>
      </c>
      <c r="B37" s="60"/>
      <c r="C37" s="60"/>
      <c r="D37" s="60"/>
      <c r="E37" s="74"/>
      <c r="F37" s="74"/>
      <c r="G37" s="75"/>
      <c r="H37" s="57"/>
      <c r="J37" s="121" t="s">
        <v>70</v>
      </c>
      <c r="K37" s="145">
        <v>14.81</v>
      </c>
      <c r="M37" s="129">
        <v>400</v>
      </c>
      <c r="N37" s="130">
        <v>8.6300000000000008</v>
      </c>
    </row>
    <row r="38" spans="1:14" s="2" customFormat="1" ht="25.5" x14ac:dyDescent="0.2">
      <c r="A38" s="21" t="s">
        <v>1</v>
      </c>
      <c r="B38" s="76" t="s">
        <v>2</v>
      </c>
      <c r="C38" s="77" t="s">
        <v>41</v>
      </c>
      <c r="D38" s="76" t="s">
        <v>42</v>
      </c>
      <c r="E38" s="78" t="s">
        <v>43</v>
      </c>
      <c r="F38" s="79" t="s">
        <v>44</v>
      </c>
      <c r="G38" s="80" t="s">
        <v>3</v>
      </c>
      <c r="H38" s="46"/>
      <c r="K38" s="137"/>
      <c r="M38" s="129">
        <v>420</v>
      </c>
      <c r="N38" s="130">
        <v>8.9600000000000009</v>
      </c>
    </row>
    <row r="39" spans="1:14" s="2" customFormat="1" ht="15" hidden="1" x14ac:dyDescent="0.2">
      <c r="A39" s="12">
        <v>0</v>
      </c>
      <c r="B39" s="68" t="s">
        <v>85</v>
      </c>
      <c r="C39" s="20">
        <v>42611</v>
      </c>
      <c r="D39" s="81">
        <f>J13</f>
        <v>43225</v>
      </c>
      <c r="E39" s="13" t="str">
        <f>IF(A39&gt;0,D39-C39,"")</f>
        <v/>
      </c>
      <c r="F39" s="14">
        <f>F29</f>
        <v>11.691346153846155</v>
      </c>
      <c r="G39" s="15" t="str">
        <f>IF(A39&gt;0,ROUND(A39*E39*F39/7,2),"")</f>
        <v/>
      </c>
      <c r="H39" s="55"/>
      <c r="J39" s="141" t="s">
        <v>71</v>
      </c>
      <c r="K39" s="146">
        <v>35</v>
      </c>
      <c r="M39" s="129">
        <v>440</v>
      </c>
      <c r="N39" s="130">
        <v>9.2899999999999991</v>
      </c>
    </row>
    <row r="40" spans="1:14" s="2" customFormat="1" ht="15" hidden="1" x14ac:dyDescent="0.2">
      <c r="A40" s="12"/>
      <c r="B40" s="68" t="s">
        <v>73</v>
      </c>
      <c r="C40" s="20"/>
      <c r="D40" s="81"/>
      <c r="E40" s="13"/>
      <c r="F40" s="14"/>
      <c r="G40" s="15"/>
      <c r="H40" s="55"/>
      <c r="J40" s="147" t="s">
        <v>72</v>
      </c>
      <c r="K40" s="146">
        <v>5</v>
      </c>
      <c r="M40" s="129">
        <v>460</v>
      </c>
      <c r="N40" s="130">
        <v>9.6199999999999992</v>
      </c>
    </row>
    <row r="41" spans="1:14" s="2" customFormat="1" hidden="1" x14ac:dyDescent="0.2">
      <c r="A41" s="12">
        <v>0</v>
      </c>
      <c r="B41" s="68" t="s">
        <v>83</v>
      </c>
      <c r="C41" s="20">
        <v>42628</v>
      </c>
      <c r="D41" s="81">
        <f>D39</f>
        <v>43225</v>
      </c>
      <c r="E41" s="13" t="str">
        <f>IF(A41&gt;0,D41-C41,"")</f>
        <v/>
      </c>
      <c r="F41" s="14">
        <f>-F39</f>
        <v>-11.691346153846155</v>
      </c>
      <c r="G41" s="15" t="str">
        <f>IF(A41&gt;0,ROUND(A41*E41*F41/7,2),"")</f>
        <v/>
      </c>
      <c r="H41" s="55"/>
      <c r="M41" s="129">
        <v>480</v>
      </c>
      <c r="N41" s="130">
        <v>9.9499999999999993</v>
      </c>
    </row>
    <row r="42" spans="1:14" s="2" customFormat="1" hidden="1" x14ac:dyDescent="0.2">
      <c r="A42" s="12"/>
      <c r="B42" s="68" t="s">
        <v>84</v>
      </c>
      <c r="C42" s="20"/>
      <c r="D42" s="81"/>
      <c r="E42" s="13"/>
      <c r="F42" s="14"/>
      <c r="G42" s="15"/>
      <c r="H42" s="55"/>
      <c r="M42" s="129">
        <v>500</v>
      </c>
      <c r="N42" s="130">
        <v>10.29</v>
      </c>
    </row>
    <row r="43" spans="1:14" s="2" customFormat="1" hidden="1" x14ac:dyDescent="0.2">
      <c r="A43" s="12">
        <v>0</v>
      </c>
      <c r="B43" s="68" t="s">
        <v>74</v>
      </c>
      <c r="C43" s="20">
        <v>42712</v>
      </c>
      <c r="D43" s="81">
        <f>D39</f>
        <v>43225</v>
      </c>
      <c r="E43" s="13" t="str">
        <f>IF(A43&gt;0,D43-C43,"")</f>
        <v/>
      </c>
      <c r="F43" s="14">
        <f>-F39</f>
        <v>-11.691346153846155</v>
      </c>
      <c r="G43" s="15" t="str">
        <f>IF(A43&gt;0,ROUND(A43*E43*F43/7,2),"")</f>
        <v/>
      </c>
      <c r="H43" s="55"/>
      <c r="M43" s="129">
        <v>520</v>
      </c>
      <c r="N43" s="130">
        <v>10.62</v>
      </c>
    </row>
    <row r="44" spans="1:14" s="2" customFormat="1" hidden="1" x14ac:dyDescent="0.2">
      <c r="A44" s="12"/>
      <c r="B44" s="68" t="s">
        <v>75</v>
      </c>
      <c r="C44" s="20"/>
      <c r="D44" s="81"/>
      <c r="E44" s="13"/>
      <c r="F44" s="14"/>
      <c r="G44" s="15"/>
      <c r="H44" s="55"/>
      <c r="M44" s="129">
        <v>540</v>
      </c>
      <c r="N44" s="130">
        <v>10.95</v>
      </c>
    </row>
    <row r="45" spans="1:14" s="2" customFormat="1" hidden="1" x14ac:dyDescent="0.2">
      <c r="A45" s="12">
        <v>0</v>
      </c>
      <c r="B45" s="68" t="s">
        <v>76</v>
      </c>
      <c r="C45" s="20">
        <v>42726</v>
      </c>
      <c r="D45" s="81">
        <f>D43</f>
        <v>43225</v>
      </c>
      <c r="E45" s="13" t="str">
        <f>IF(A45&gt;0,D45-C45,"")</f>
        <v/>
      </c>
      <c r="F45" s="14">
        <f>F43</f>
        <v>-11.691346153846155</v>
      </c>
      <c r="G45" s="15" t="str">
        <f>IF(A45&gt;0,ROUND(A45*E45*F45/7,2),"")</f>
        <v/>
      </c>
      <c r="H45" s="55"/>
      <c r="M45" s="129">
        <v>560</v>
      </c>
      <c r="N45" s="130">
        <v>11.28</v>
      </c>
    </row>
    <row r="46" spans="1:14" s="2" customFormat="1" hidden="1" x14ac:dyDescent="0.2">
      <c r="A46" s="12"/>
      <c r="B46" s="68" t="s">
        <v>77</v>
      </c>
      <c r="C46" s="20"/>
      <c r="D46" s="81"/>
      <c r="E46" s="13"/>
      <c r="F46" s="14"/>
      <c r="G46" s="15"/>
      <c r="H46" s="55"/>
      <c r="M46" s="131">
        <v>580</v>
      </c>
      <c r="N46" s="132">
        <v>11.48</v>
      </c>
    </row>
    <row r="47" spans="1:14" s="2" customFormat="1" hidden="1" x14ac:dyDescent="0.2">
      <c r="A47" s="12">
        <v>0</v>
      </c>
      <c r="B47" s="68" t="s">
        <v>76</v>
      </c>
      <c r="C47" s="20">
        <v>42775</v>
      </c>
      <c r="D47" s="81">
        <f>D45</f>
        <v>43225</v>
      </c>
      <c r="E47" s="13" t="str">
        <f>IF(A47&gt;0,D47-C47,"")</f>
        <v/>
      </c>
      <c r="F47" s="14">
        <f>F45</f>
        <v>-11.691346153846155</v>
      </c>
      <c r="G47" s="15" t="str">
        <f>IF(A47&gt;0,ROUND(A47*E47*F47/7,2),"")</f>
        <v/>
      </c>
      <c r="H47" s="55"/>
    </row>
    <row r="48" spans="1:14" s="2" customFormat="1" hidden="1" x14ac:dyDescent="0.2">
      <c r="A48" s="12"/>
      <c r="B48" s="68" t="s">
        <v>78</v>
      </c>
      <c r="C48" s="20"/>
      <c r="D48" s="81"/>
      <c r="E48" s="13"/>
      <c r="F48" s="14"/>
      <c r="G48" s="15"/>
      <c r="H48" s="55"/>
    </row>
    <row r="49" spans="1:11" s="2" customFormat="1" hidden="1" x14ac:dyDescent="0.2">
      <c r="A49" s="12">
        <v>0</v>
      </c>
      <c r="B49" s="68" t="s">
        <v>63</v>
      </c>
      <c r="C49" s="20">
        <v>42804</v>
      </c>
      <c r="D49" s="81">
        <f>D47</f>
        <v>43225</v>
      </c>
      <c r="E49" s="13" t="str">
        <f>IF(A49&gt;0,D49-C49,"")</f>
        <v/>
      </c>
      <c r="F49" s="14">
        <f>F47</f>
        <v>-11.691346153846155</v>
      </c>
      <c r="G49" s="15" t="str">
        <f>IF(A49&gt;0,ROUND(A49*E49*F49/7,2),"")</f>
        <v/>
      </c>
      <c r="H49" s="55"/>
    </row>
    <row r="50" spans="1:11" s="2" customFormat="1" hidden="1" x14ac:dyDescent="0.2">
      <c r="A50" s="12"/>
      <c r="B50" s="68" t="s">
        <v>86</v>
      </c>
      <c r="C50" s="20"/>
      <c r="D50" s="81"/>
      <c r="E50" s="13"/>
      <c r="F50" s="14"/>
      <c r="G50" s="15"/>
      <c r="H50" s="55"/>
    </row>
    <row r="51" spans="1:11" s="2" customFormat="1" hidden="1" x14ac:dyDescent="0.2">
      <c r="A51" s="12">
        <v>0</v>
      </c>
      <c r="B51" s="68" t="s">
        <v>79</v>
      </c>
      <c r="C51" s="20">
        <v>42803</v>
      </c>
      <c r="D51" s="81">
        <f>D49</f>
        <v>43225</v>
      </c>
      <c r="E51" s="13" t="str">
        <f>IF(A51&gt;0,D51-C51,"")</f>
        <v/>
      </c>
      <c r="F51" s="14">
        <f>-F39</f>
        <v>-11.691346153846155</v>
      </c>
      <c r="G51" s="15" t="str">
        <f>IF(A51&gt;0,ROUND(A51*E51*F51/7,2),"")</f>
        <v/>
      </c>
      <c r="H51" s="55"/>
    </row>
    <row r="52" spans="1:11" s="2" customFormat="1" hidden="1" x14ac:dyDescent="0.2">
      <c r="A52" s="12"/>
      <c r="B52" s="68" t="s">
        <v>80</v>
      </c>
      <c r="C52" s="20"/>
      <c r="D52" s="81"/>
      <c r="E52" s="13"/>
      <c r="F52" s="14"/>
      <c r="G52" s="15"/>
      <c r="H52" s="55"/>
    </row>
    <row r="53" spans="1:11" s="2" customFormat="1" x14ac:dyDescent="0.2">
      <c r="A53" s="12">
        <v>3</v>
      </c>
      <c r="B53" s="68" t="s">
        <v>63</v>
      </c>
      <c r="C53" s="20">
        <v>43180</v>
      </c>
      <c r="D53" s="81">
        <f>D51</f>
        <v>43225</v>
      </c>
      <c r="E53" s="13">
        <f>IF(A53&gt;0,D53-C53,"")</f>
        <v>45</v>
      </c>
      <c r="F53" s="14">
        <f>F51</f>
        <v>-11.691346153846155</v>
      </c>
      <c r="G53" s="15">
        <f>IF(A53&gt;0,ROUND(A53*E53*F53/7,2),"")</f>
        <v>-225.48</v>
      </c>
      <c r="H53" s="55"/>
    </row>
    <row r="54" spans="1:11" s="2" customFormat="1" x14ac:dyDescent="0.2">
      <c r="A54" s="12"/>
      <c r="B54" s="68" t="s">
        <v>98</v>
      </c>
      <c r="C54" s="20"/>
      <c r="D54" s="81"/>
      <c r="E54" s="13"/>
      <c r="F54" s="14"/>
      <c r="G54" s="15"/>
      <c r="H54" s="55"/>
    </row>
    <row r="55" spans="1:11" s="2" customFormat="1" x14ac:dyDescent="0.2">
      <c r="A55" s="12"/>
      <c r="B55" s="68"/>
      <c r="C55" s="20"/>
      <c r="D55" s="81"/>
      <c r="E55" s="13"/>
      <c r="F55" s="14"/>
      <c r="G55" s="15"/>
      <c r="H55" s="55"/>
    </row>
    <row r="56" spans="1:11" s="2" customFormat="1" hidden="1" x14ac:dyDescent="0.2">
      <c r="A56" s="21">
        <v>0</v>
      </c>
      <c r="B56" s="99" t="s">
        <v>82</v>
      </c>
      <c r="C56" s="100"/>
      <c r="D56" s="100"/>
      <c r="E56" s="101"/>
      <c r="F56" s="103">
        <f>K39</f>
        <v>35</v>
      </c>
      <c r="G56" s="64" t="str">
        <f>IF(A56&gt;0,ROUND(A56*F56,2),"")</f>
        <v/>
      </c>
    </row>
    <row r="57" spans="1:11" s="2" customFormat="1" hidden="1" x14ac:dyDescent="0.2">
      <c r="A57" s="11">
        <v>0</v>
      </c>
      <c r="B57" s="109" t="s">
        <v>81</v>
      </c>
      <c r="C57" s="37"/>
      <c r="D57" s="110"/>
      <c r="E57" s="111"/>
      <c r="F57" s="112">
        <f>VLOOKUP(J31,J35:K37,2,FALSE)</f>
        <v>13.44</v>
      </c>
      <c r="G57" s="113" t="str">
        <f>IF(A57&gt;0,ROUND(A57*F57,2),"")</f>
        <v/>
      </c>
      <c r="H57" s="55"/>
    </row>
    <row r="58" spans="1:11" s="2" customFormat="1" ht="15" hidden="1" x14ac:dyDescent="0.2">
      <c r="A58" s="82"/>
      <c r="B58" s="39" t="s">
        <v>92</v>
      </c>
      <c r="C58" s="83"/>
      <c r="D58" s="84"/>
      <c r="E58" s="85"/>
      <c r="F58" s="86"/>
      <c r="G58" s="87" t="str">
        <f>IF(A58&gt;0,ROUND(A58*E58*F58/7,2),"")</f>
        <v/>
      </c>
      <c r="H58" s="55"/>
      <c r="K58" s="137"/>
    </row>
    <row r="59" spans="1:11" s="2" customFormat="1" ht="19.5" customHeight="1" x14ac:dyDescent="0.2">
      <c r="A59" s="69"/>
      <c r="B59" s="58" t="s">
        <v>4</v>
      </c>
      <c r="C59" s="70"/>
      <c r="D59" s="70"/>
      <c r="E59" s="70"/>
      <c r="F59" s="70"/>
      <c r="G59" s="71">
        <f>SUM(G32:G58)</f>
        <v>446.52</v>
      </c>
      <c r="H59" s="91"/>
      <c r="I59" s="137"/>
      <c r="J59" s="137"/>
    </row>
    <row r="60" spans="1:11" s="2" customFormat="1" ht="19.5" customHeight="1" x14ac:dyDescent="0.2">
      <c r="A60" s="24"/>
      <c r="B60" s="25" t="s">
        <v>16</v>
      </c>
      <c r="C60" s="23"/>
      <c r="D60" s="23"/>
      <c r="E60" s="23"/>
      <c r="F60" s="23"/>
      <c r="G60" s="26">
        <f>ROUND(G59*0.15,2)</f>
        <v>66.98</v>
      </c>
      <c r="H60" s="91"/>
    </row>
    <row r="61" spans="1:11" s="2" customFormat="1" ht="19.5" customHeight="1" x14ac:dyDescent="0.2">
      <c r="A61" s="27"/>
      <c r="B61" s="28" t="str">
        <f>IF(G61&gt;0,"Total adjustment amount to pay","Total adjustment refund")</f>
        <v>Total adjustment amount to pay</v>
      </c>
      <c r="C61" s="29"/>
      <c r="D61" s="29"/>
      <c r="E61" s="29"/>
      <c r="F61" s="29"/>
      <c r="G61" s="30">
        <f>SUM(G59:G60)</f>
        <v>513.5</v>
      </c>
      <c r="H61" s="91"/>
    </row>
    <row r="62" spans="1:11" s="137" customFormat="1" ht="15" x14ac:dyDescent="0.2">
      <c r="I62" s="2"/>
      <c r="J62" s="2"/>
      <c r="K62" s="2"/>
    </row>
    <row r="63" spans="1:11" ht="15.75" x14ac:dyDescent="0.2">
      <c r="A63" s="148" t="s">
        <v>11</v>
      </c>
      <c r="I63" s="2"/>
      <c r="J63" s="2"/>
      <c r="K63" s="2"/>
    </row>
    <row r="64" spans="1:11" ht="14.25" x14ac:dyDescent="0.2">
      <c r="A64" s="16" t="str">
        <f>CONCATENATE("1.  Payment is due on the 20th of June ",YEAR(G5),".")</f>
        <v>1.  Payment is due on the 20th of June 2018.</v>
      </c>
      <c r="I64" s="2"/>
      <c r="J64" s="2"/>
    </row>
    <row r="65" spans="1:7" ht="15" x14ac:dyDescent="0.2">
      <c r="A65" s="122" t="s">
        <v>87</v>
      </c>
      <c r="B65" s="123"/>
      <c r="C65" s="123"/>
      <c r="D65" s="123"/>
      <c r="E65" s="123"/>
      <c r="F65" s="123"/>
      <c r="G65" s="123"/>
    </row>
    <row r="66" spans="1:7" ht="15" x14ac:dyDescent="0.2">
      <c r="A66" s="123"/>
      <c r="B66" s="122" t="s">
        <v>88</v>
      </c>
      <c r="C66" s="123"/>
      <c r="D66" s="123"/>
      <c r="E66" s="123"/>
      <c r="F66" s="123"/>
      <c r="G66" s="123"/>
    </row>
    <row r="67" spans="1:7" ht="15" x14ac:dyDescent="0.2">
      <c r="A67" s="123"/>
      <c r="B67" s="122" t="str">
        <f>CONCATENATE("Particulars : ",UPPER("grazing"))</f>
        <v>Particulars : GRAZING</v>
      </c>
      <c r="C67" s="123"/>
      <c r="D67" s="123"/>
      <c r="E67" s="123"/>
      <c r="F67" s="123"/>
      <c r="G67" s="123"/>
    </row>
    <row r="68" spans="1:7" ht="15" x14ac:dyDescent="0.2">
      <c r="A68" s="123"/>
      <c r="B68" s="122" t="str">
        <f ca="1">CONCATENATE("Code : ",UPPER(J29))</f>
        <v>Code : HENDERSON</v>
      </c>
      <c r="C68" s="123"/>
      <c r="D68" s="123"/>
      <c r="E68" s="123"/>
      <c r="F68" s="123"/>
      <c r="G68" s="123"/>
    </row>
    <row r="69" spans="1:7" ht="15" x14ac:dyDescent="0.2">
      <c r="A69" s="123"/>
      <c r="B69" s="122" t="str">
        <f ca="1">CONCATENATE("Reference : ",UPPER(G6))</f>
        <v>Reference : GR-18032</v>
      </c>
      <c r="C69" s="123"/>
      <c r="D69" s="123"/>
      <c r="E69" s="123"/>
      <c r="F69" s="123"/>
      <c r="G69" s="123"/>
    </row>
    <row r="70" spans="1:7" ht="14.25" x14ac:dyDescent="0.2">
      <c r="A70" s="16" t="s">
        <v>55</v>
      </c>
    </row>
    <row r="71" spans="1:7" ht="14.25" x14ac:dyDescent="0.2">
      <c r="A71" s="16" t="s">
        <v>56</v>
      </c>
    </row>
    <row r="72" spans="1:7" ht="14.25" x14ac:dyDescent="0.2">
      <c r="A72" s="16" t="s">
        <v>57</v>
      </c>
    </row>
    <row r="84" spans="9:11" ht="15" x14ac:dyDescent="0.2">
      <c r="K84" s="137"/>
    </row>
    <row r="85" spans="9:11" ht="15" x14ac:dyDescent="0.2">
      <c r="I85" s="137"/>
      <c r="J85" s="137"/>
    </row>
  </sheetData>
  <mergeCells count="1">
    <mergeCell ref="A29:D29"/>
  </mergeCells>
  <phoneticPr fontId="0" type="noConversion"/>
  <printOptions horizontalCentered="1"/>
  <pageMargins left="0.98425196850393704" right="0.39370078740157483" top="0.59055118110236227" bottom="0.15748031496062992" header="0.19685039370078741" footer="0.15748031496062992"/>
  <pageSetup paperSize="9" orientation="portrait" horizontalDpi="4000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Grazing Invoice</vt:lpstr>
      <vt:lpstr>'Grazing Invoice'!Print_Area</vt:lpstr>
    </vt:vector>
  </TitlesOfParts>
  <Manager>Brett Honeyfield</Manager>
  <Company>Powerhouse Agriventures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Standard Workbook Template</dc:title>
  <dc:subject>Standard Templates</dc:subject>
  <dc:creator>Brett Honeyfield</dc:creator>
  <cp:lastModifiedBy>Brett Honeyfield</cp:lastModifiedBy>
  <cp:lastPrinted>2018-06-05T10:39:48Z</cp:lastPrinted>
  <dcterms:created xsi:type="dcterms:W3CDTF">1996-08-22T23:29:26Z</dcterms:created>
  <dcterms:modified xsi:type="dcterms:W3CDTF">2018-06-05T10:39:51Z</dcterms:modified>
</cp:coreProperties>
</file>