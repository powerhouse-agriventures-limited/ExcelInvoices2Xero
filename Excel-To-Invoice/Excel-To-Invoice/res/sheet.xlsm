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!!Data\2018\PAL\Invoices\"/>
    </mc:Choice>
  </mc:AlternateContent>
  <bookViews>
    <workbookView xWindow="120" yWindow="105" windowWidth="9420" windowHeight="4725"/>
  </bookViews>
  <sheets>
    <sheet name="Grazing Invoice" sheetId="1" r:id="rId1"/>
  </sheets>
  <definedNames>
    <definedName name="_xlnm.Print_Area" localSheetId="0">'Grazing Invoice'!$A$1:$G$44</definedName>
  </definedNames>
  <calcPr calcId="162913"/>
</workbook>
</file>

<file path=xl/calcChain.xml><?xml version="1.0" encoding="utf-8"?>
<calcChain xmlns="http://schemas.openxmlformats.org/spreadsheetml/2006/main">
  <c r="J27" i="1" l="1"/>
  <c r="F29" i="1" l="1"/>
  <c r="G6" i="1" l="1"/>
  <c r="B43" i="1" l="1"/>
  <c r="B42" i="1"/>
  <c r="A29" i="1" l="1"/>
  <c r="A28" i="1"/>
  <c r="B44" i="1" l="1"/>
  <c r="A17" i="1"/>
  <c r="G29" i="1"/>
  <c r="F28" i="1"/>
  <c r="G28" i="1" s="1"/>
  <c r="A26" i="1"/>
  <c r="A25" i="1"/>
  <c r="A24" i="1"/>
  <c r="A39" i="1"/>
  <c r="A38" i="1"/>
  <c r="J11" i="1"/>
  <c r="J13" i="1" s="1"/>
  <c r="A22" i="1"/>
  <c r="I12" i="1"/>
  <c r="I19" i="1"/>
  <c r="J6" i="1"/>
  <c r="J7" i="1" s="1"/>
  <c r="J8" i="1" s="1"/>
  <c r="D17" i="1"/>
  <c r="K19" i="1"/>
  <c r="K18" i="1"/>
  <c r="K17" i="1"/>
  <c r="K16" i="1"/>
  <c r="K15" i="1"/>
  <c r="K14" i="1"/>
  <c r="I17" i="1"/>
  <c r="I16" i="1"/>
  <c r="I15" i="1"/>
  <c r="I14" i="1"/>
  <c r="I13" i="1"/>
  <c r="I18" i="1"/>
  <c r="G30" i="1"/>
  <c r="J9" i="1" l="1"/>
  <c r="C17" i="1" s="1"/>
  <c r="A19" i="1"/>
  <c r="A18" i="1"/>
  <c r="J14" i="1"/>
  <c r="J15" i="1" s="1"/>
  <c r="J17" i="1"/>
  <c r="J19" i="1" s="1"/>
  <c r="J22" i="1" s="1"/>
  <c r="E17" i="1" s="1"/>
  <c r="G17" i="1" s="1"/>
  <c r="A23" i="1"/>
  <c r="A21" i="1" l="1"/>
  <c r="A20" i="1"/>
  <c r="J16" i="1"/>
  <c r="J34" i="1"/>
  <c r="G31" i="1"/>
  <c r="G32" i="1" l="1"/>
  <c r="G33" i="1" s="1"/>
  <c r="G35" i="1" s="1"/>
</calcChain>
</file>

<file path=xl/sharedStrings.xml><?xml version="1.0" encoding="utf-8"?>
<sst xmlns="http://schemas.openxmlformats.org/spreadsheetml/2006/main" count="74" uniqueCount="64">
  <si>
    <t>POWERHOUSE AGRIVENTURES LIMITED</t>
  </si>
  <si>
    <t>Quantity</t>
  </si>
  <si>
    <t>Description</t>
  </si>
  <si>
    <t>Total</t>
  </si>
  <si>
    <t>Sub total</t>
  </si>
  <si>
    <t xml:space="preserve">Total </t>
  </si>
  <si>
    <t>TAX INVOICE</t>
  </si>
  <si>
    <t>RD 2</t>
  </si>
  <si>
    <t>To:</t>
  </si>
  <si>
    <t>GRAZING INVOICE</t>
  </si>
  <si>
    <t>Date:</t>
  </si>
  <si>
    <t>GST Number:</t>
  </si>
  <si>
    <t>84-924-415</t>
  </si>
  <si>
    <t>Monthly amount due by automatic payment (total divided by 12 months)</t>
  </si>
  <si>
    <t>Notes:</t>
  </si>
  <si>
    <t>c/- Brett Honeyfield &amp; Gabriel Marcroft</t>
  </si>
  <si>
    <t>R1Yr Heifers</t>
  </si>
  <si>
    <t>Invoice No.:</t>
  </si>
  <si>
    <t>Patea 4598</t>
  </si>
  <si>
    <t>Plus GST @ 15%</t>
  </si>
  <si>
    <t>Start Weight (kg)</t>
  </si>
  <si>
    <t>End Weight (kg)</t>
  </si>
  <si>
    <t>kgDM</t>
  </si>
  <si>
    <t>Rate
(c/kgDM)</t>
  </si>
  <si>
    <t>72A Powerhouse Road</t>
  </si>
  <si>
    <t>Rate
($/head)</t>
  </si>
  <si>
    <t>Charge for bulls</t>
  </si>
  <si>
    <t>Charge for drench</t>
  </si>
  <si>
    <t>Date weighed</t>
  </si>
  <si>
    <t>Weight</t>
  </si>
  <si>
    <t>kg</t>
  </si>
  <si>
    <t>Arrival date</t>
  </si>
  <si>
    <t>Estimated arriving weight</t>
  </si>
  <si>
    <t>Charge for replacement EID tags</t>
  </si>
  <si>
    <t>per week</t>
  </si>
  <si>
    <t>Average per head rate</t>
  </si>
  <si>
    <t>Estimated gain between arriving and weighing</t>
  </si>
  <si>
    <t>Changeover date</t>
  </si>
  <si>
    <t>First day in Farmax model</t>
  </si>
  <si>
    <t>days</t>
  </si>
  <si>
    <t>kg DM</t>
  </si>
  <si>
    <t>Rounding down</t>
  </si>
  <si>
    <t>Number of days between arriving and weighing</t>
  </si>
  <si>
    <t>Farmax end weight</t>
  </si>
  <si>
    <t>Farmax kg DM</t>
  </si>
  <si>
    <t>Adjusted kg DM</t>
  </si>
  <si>
    <t>Tally</t>
  </si>
  <si>
    <t>Landowner name</t>
  </si>
  <si>
    <t>Breed</t>
  </si>
  <si>
    <t>XB</t>
  </si>
  <si>
    <t>Drench</t>
  </si>
  <si>
    <t>Rate</t>
  </si>
  <si>
    <t>J</t>
  </si>
  <si>
    <t>F</t>
  </si>
  <si>
    <t>Bulls</t>
  </si>
  <si>
    <t>EID</t>
  </si>
  <si>
    <t>2.  Payment can be made to "Powerhouse Agriventures Limited" by direct credit to</t>
  </si>
  <si>
    <t>ASB Bank 12-3174-0221923-00</t>
  </si>
  <si>
    <t>Payment Reference</t>
  </si>
  <si>
    <t>Silverdene Farms 2000 Ltd</t>
  </si>
  <si>
    <t>c/- Mark &amp; Viv Henderson</t>
  </si>
  <si>
    <t>282 Wortley Road</t>
  </si>
  <si>
    <t>RD3</t>
  </si>
  <si>
    <t>New Plymouth 4373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</si>
</sst>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;[Red]\-&quot;$&quot;#,##0.00"/>
    <numFmt numFmtId="164" formatCode="d\ mmmm\ yyyy"/>
    <numFmt numFmtId="165" formatCode="#,##0.0_ ;[Red]\-#,##0.0\ "/>
    <numFmt numFmtId="166" formatCode="&quot;$&quot;#,##0.00"/>
  </numFmts>
  <fonts count="9" x14ac:knownFonts="1">
    <font>
      <sz val="1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1.5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2" fillId="0" borderId="1" xfId="0" applyFont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justify" vertical="top"/>
    </xf>
    <xf numFmtId="0" fontId="1" fillId="0" borderId="2" xfId="0" applyFont="1" applyBorder="1" applyAlignment="1">
      <alignment horizontal="center" vertical="top"/>
    </xf>
    <xf numFmtId="8" fontId="1" fillId="0" borderId="3" xfId="0" applyNumberFormat="1" applyFont="1" applyBorder="1" applyAlignment="1">
      <alignment horizontal="right" vertical="top"/>
    </xf>
    <xf numFmtId="0" fontId="1" fillId="0" borderId="4" xfId="0" applyFont="1" applyBorder="1" applyAlignment="1">
      <alignment horizontal="center" vertical="top"/>
    </xf>
    <xf numFmtId="1" fontId="1" fillId="0" borderId="0" xfId="0" applyNumberFormat="1" applyFont="1" applyBorder="1" applyAlignment="1">
      <alignment horizontal="center" vertical="top"/>
    </xf>
    <xf numFmtId="8" fontId="1" fillId="0" borderId="5" xfId="0" applyNumberFormat="1" applyFont="1" applyBorder="1" applyAlignment="1">
      <alignment horizontal="right" vertical="top"/>
    </xf>
    <xf numFmtId="0" fontId="1" fillId="0" borderId="6" xfId="0" applyFont="1" applyBorder="1" applyAlignment="1">
      <alignment horizontal="center" vertical="top"/>
    </xf>
    <xf numFmtId="8" fontId="1" fillId="0" borderId="7" xfId="0" applyNumberFormat="1" applyFont="1" applyBorder="1" applyAlignment="1">
      <alignment horizontal="right" vertical="top"/>
    </xf>
    <xf numFmtId="0" fontId="4" fillId="0" borderId="0" xfId="0" applyFont="1" applyAlignment="1">
      <alignment horizontal="left" vertical="center"/>
    </xf>
    <xf numFmtId="0" fontId="6" fillId="0" borderId="8" xfId="0" applyFont="1" applyBorder="1" applyAlignment="1">
      <alignment horizontal="centerContinuous" vertical="center"/>
    </xf>
    <xf numFmtId="14" fontId="6" fillId="0" borderId="0" xfId="0" applyNumberFormat="1" applyFont="1" applyAlignment="1">
      <alignment horizontal="right" vertical="top"/>
    </xf>
    <xf numFmtId="0" fontId="6" fillId="0" borderId="0" xfId="0" quotePrefix="1" applyFont="1" applyAlignment="1">
      <alignment horizontal="right" vertical="top"/>
    </xf>
    <xf numFmtId="0" fontId="7" fillId="0" borderId="0" xfId="0" applyFont="1">
      <alignment vertical="center"/>
    </xf>
    <xf numFmtId="0" fontId="1" fillId="0" borderId="9" xfId="0" applyFont="1" applyBorder="1" applyAlignment="1">
      <alignment horizontal="left" vertical="top"/>
    </xf>
    <xf numFmtId="164" fontId="1" fillId="0" borderId="0" xfId="0" applyNumberFormat="1" applyFont="1" applyBorder="1" applyAlignment="1">
      <alignment horizontal="left" vertical="top"/>
    </xf>
    <xf numFmtId="164" fontId="1" fillId="0" borderId="10" xfId="0" applyNumberFormat="1" applyFont="1" applyBorder="1" applyAlignment="1">
      <alignment horizontal="left" vertical="top"/>
    </xf>
    <xf numFmtId="0" fontId="1" fillId="0" borderId="11" xfId="0" applyFont="1" applyBorder="1" applyAlignment="1">
      <alignment horizontal="center" vertical="top"/>
    </xf>
    <xf numFmtId="0" fontId="1" fillId="0" borderId="12" xfId="0" applyFont="1" applyBorder="1" applyAlignment="1">
      <alignment horizontal="justify" vertical="top"/>
    </xf>
    <xf numFmtId="0" fontId="1" fillId="0" borderId="8" xfId="0" applyFont="1" applyBorder="1" applyAlignment="1">
      <alignment horizontal="justify" vertical="top"/>
    </xf>
    <xf numFmtId="0" fontId="1" fillId="0" borderId="9" xfId="0" applyFont="1" applyBorder="1" applyAlignment="1">
      <alignment horizontal="center" vertical="top" wrapText="1"/>
    </xf>
    <xf numFmtId="0" fontId="1" fillId="0" borderId="13" xfId="0" applyFont="1" applyBorder="1" applyAlignment="1">
      <alignment horizontal="center" vertical="top"/>
    </xf>
    <xf numFmtId="0" fontId="1" fillId="0" borderId="0" xfId="0" applyFont="1" applyBorder="1" applyAlignment="1">
      <alignment horizontal="left" vertical="center"/>
    </xf>
    <xf numFmtId="0" fontId="1" fillId="0" borderId="1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8" fontId="1" fillId="0" borderId="14" xfId="0" applyNumberFormat="1" applyFont="1" applyBorder="1" applyAlignment="1">
      <alignment horizontal="right" vertical="center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horizontal="left" vertical="center"/>
    </xf>
    <xf numFmtId="8" fontId="1" fillId="0" borderId="13" xfId="0" applyNumberFormat="1" applyFont="1" applyBorder="1" applyAlignment="1">
      <alignment horizontal="right" vertical="center"/>
    </xf>
    <xf numFmtId="0" fontId="1" fillId="0" borderId="15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8" fontId="1" fillId="0" borderId="15" xfId="0" applyNumberFormat="1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3" fontId="1" fillId="0" borderId="16" xfId="0" applyNumberFormat="1" applyFont="1" applyBorder="1" applyAlignment="1">
      <alignment horizontal="center" vertical="top"/>
    </xf>
    <xf numFmtId="1" fontId="1" fillId="0" borderId="16" xfId="0" applyNumberFormat="1" applyFont="1" applyBorder="1" applyAlignment="1">
      <alignment horizontal="right" vertical="top"/>
    </xf>
    <xf numFmtId="1" fontId="1" fillId="0" borderId="9" xfId="0" applyNumberFormat="1" applyFont="1" applyBorder="1" applyAlignment="1">
      <alignment horizontal="right" vertical="top"/>
    </xf>
    <xf numFmtId="0" fontId="1" fillId="0" borderId="12" xfId="0" applyFont="1" applyBorder="1" applyAlignment="1">
      <alignment horizontal="center" vertical="top" wrapText="1"/>
    </xf>
    <xf numFmtId="165" fontId="1" fillId="0" borderId="9" xfId="0" applyNumberFormat="1" applyFont="1" applyBorder="1" applyAlignment="1">
      <alignment horizontal="center" vertical="top"/>
    </xf>
    <xf numFmtId="0" fontId="1" fillId="0" borderId="16" xfId="0" applyFont="1" applyBorder="1" applyAlignment="1">
      <alignment horizontal="justify" vertical="top"/>
    </xf>
    <xf numFmtId="0" fontId="1" fillId="0" borderId="2" xfId="0" applyFont="1" applyBorder="1" applyAlignment="1">
      <alignment horizontal="left" vertical="top"/>
    </xf>
    <xf numFmtId="164" fontId="1" fillId="0" borderId="16" xfId="0" applyNumberFormat="1" applyFont="1" applyBorder="1" applyAlignment="1">
      <alignment horizontal="left" vertical="top"/>
    </xf>
    <xf numFmtId="1" fontId="1" fillId="0" borderId="3" xfId="0" applyNumberFormat="1" applyFont="1" applyBorder="1" applyAlignment="1">
      <alignment horizontal="center" vertical="top"/>
    </xf>
    <xf numFmtId="8" fontId="1" fillId="0" borderId="5" xfId="0" quotePrefix="1" applyNumberFormat="1" applyFont="1" applyBorder="1" applyAlignment="1">
      <alignment horizontal="center" vertical="top"/>
    </xf>
    <xf numFmtId="0" fontId="1" fillId="0" borderId="6" xfId="0" applyFont="1" applyBorder="1" applyAlignment="1">
      <alignment horizontal="left" vertical="top"/>
    </xf>
    <xf numFmtId="1" fontId="1" fillId="0" borderId="7" xfId="0" applyNumberFormat="1" applyFont="1" applyBorder="1" applyAlignment="1">
      <alignment horizontal="center" vertical="top"/>
    </xf>
    <xf numFmtId="8" fontId="1" fillId="0" borderId="7" xfId="0" applyNumberFormat="1" applyFont="1" applyBorder="1" applyAlignment="1">
      <alignment horizontal="center" vertical="top"/>
    </xf>
    <xf numFmtId="0" fontId="1" fillId="0" borderId="0" xfId="0" applyFont="1" applyBorder="1" applyAlignment="1">
      <alignment vertical="center"/>
    </xf>
    <xf numFmtId="0" fontId="1" fillId="0" borderId="4" xfId="0" applyFont="1" applyBorder="1" applyAlignment="1">
      <alignment horizontal="left" vertical="top"/>
    </xf>
    <xf numFmtId="1" fontId="1" fillId="0" borderId="5" xfId="0" applyNumberFormat="1" applyFont="1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14" fontId="8" fillId="0" borderId="0" xfId="0" applyNumberFormat="1" applyFont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>
      <alignment vertical="center"/>
    </xf>
    <xf numFmtId="1" fontId="6" fillId="0" borderId="0" xfId="0" applyNumberFormat="1" applyFont="1" applyAlignment="1">
      <alignment vertical="center"/>
    </xf>
    <xf numFmtId="14" fontId="8" fillId="0" borderId="0" xfId="0" applyNumberFormat="1" applyFont="1">
      <alignment vertical="center"/>
    </xf>
    <xf numFmtId="8" fontId="1" fillId="0" borderId="0" xfId="0" applyNumberFormat="1" applyFont="1" applyBorder="1" applyAlignment="1">
      <alignment horizontal="center" vertical="top"/>
    </xf>
    <xf numFmtId="0" fontId="1" fillId="0" borderId="16" xfId="0" applyFont="1" applyBorder="1" applyAlignment="1">
      <alignment vertical="center"/>
    </xf>
    <xf numFmtId="165" fontId="1" fillId="0" borderId="16" xfId="0" applyNumberFormat="1" applyFont="1" applyBorder="1" applyAlignment="1">
      <alignment horizontal="center" vertical="top"/>
    </xf>
    <xf numFmtId="0" fontId="1" fillId="0" borderId="10" xfId="0" applyFont="1" applyBorder="1" applyAlignment="1">
      <alignment vertical="center"/>
    </xf>
    <xf numFmtId="1" fontId="1" fillId="0" borderId="10" xfId="0" applyNumberFormat="1" applyFont="1" applyBorder="1" applyAlignment="1">
      <alignment horizontal="center" vertical="top"/>
    </xf>
    <xf numFmtId="8" fontId="1" fillId="0" borderId="10" xfId="0" applyNumberFormat="1" applyFont="1" applyBorder="1" applyAlignment="1">
      <alignment horizontal="center" vertical="top"/>
    </xf>
    <xf numFmtId="3" fontId="8" fillId="0" borderId="0" xfId="0" applyNumberFormat="1" applyFont="1">
      <alignment vertical="center"/>
    </xf>
    <xf numFmtId="166" fontId="0" fillId="0" borderId="0" xfId="0" applyNumberFormat="1">
      <alignment vertical="center"/>
    </xf>
    <xf numFmtId="0" fontId="1" fillId="0" borderId="16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/>
    </xf>
    <xf numFmtId="0" fontId="1" fillId="0" borderId="7" xfId="0" applyFont="1" applyBorder="1" applyAlignment="1">
      <alignment horizontal="center" vertical="top"/>
    </xf>
    <xf numFmtId="3" fontId="0" fillId="0" borderId="0" xfId="0" applyNumberFormat="1">
      <alignment vertical="center"/>
    </xf>
    <xf numFmtId="0" fontId="1" fillId="0" borderId="10" xfId="0" applyFont="1" applyBorder="1" applyAlignment="1">
      <alignment horizontal="justify" vertical="top"/>
    </xf>
    <xf numFmtId="0" fontId="1" fillId="0" borderId="10" xfId="0" applyFont="1" applyBorder="1" applyAlignment="1">
      <alignment horizontal="center" vertical="top" wrapText="1"/>
    </xf>
    <xf numFmtId="1" fontId="6" fillId="0" borderId="0" xfId="0" quotePrefix="1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11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166" fontId="0" fillId="0" borderId="14" xfId="0" applyNumberFormat="1" applyBorder="1">
      <alignment vertical="center"/>
    </xf>
    <xf numFmtId="166" fontId="0" fillId="0" borderId="15" xfId="0" applyNumberFormat="1" applyBorder="1">
      <alignment vertical="center"/>
    </xf>
    <xf numFmtId="166" fontId="0" fillId="0" borderId="12" xfId="0" applyNumberFormat="1" applyFill="1" applyBorder="1">
      <alignment vertical="center"/>
    </xf>
    <xf numFmtId="0" fontId="0" fillId="0" borderId="11" xfId="0" applyFill="1" applyBorder="1">
      <alignment vertical="center"/>
    </xf>
    <xf numFmtId="0" fontId="1" fillId="0" borderId="9" xfId="0" applyFont="1" applyBorder="1" applyAlignment="1">
      <alignment vertical="center"/>
    </xf>
    <xf numFmtId="0" fontId="1" fillId="0" borderId="2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8" fontId="1" fillId="0" borderId="9" xfId="0" applyNumberFormat="1" applyFont="1" applyBorder="1" applyAlignment="1">
      <alignment horizontal="right" vertical="center"/>
    </xf>
    <xf numFmtId="0" fontId="6" fillId="0" borderId="6" xfId="0" applyFont="1" applyBorder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1" fillId="0" borderId="11" xfId="0" applyFont="1" applyBorder="1" applyAlignment="1">
      <alignment horizontal="justify" vertical="top"/>
    </xf>
    <xf numFmtId="0" fontId="1" fillId="0" borderId="13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showGridLines="0" tabSelected="1" workbookViewId="0"/>
  </sheetViews>
  <sheetFormatPr defaultRowHeight="15" x14ac:dyDescent="0.2"/>
  <cols>
    <col min="1" max="1" width="7.33203125" style="5" customWidth="1"/>
    <col min="2" max="2" width="12.77734375" style="5" customWidth="1"/>
    <col min="3" max="4" width="13.109375" style="5" customWidth="1"/>
    <col min="5" max="5" width="6.88671875" style="5" customWidth="1"/>
    <col min="6" max="6" width="8.88671875" style="5"/>
    <col min="7" max="7" width="10.77734375" style="5" customWidth="1"/>
    <col min="8" max="8" width="3" style="5" customWidth="1"/>
    <col min="9" max="9" width="51.109375" style="5" customWidth="1"/>
    <col min="10" max="10" width="12.21875" style="5" customWidth="1"/>
    <col min="12" max="16384" width="8.88671875" style="5"/>
  </cols>
  <sheetData>
    <row r="1" spans="1:11" s="4" customFormat="1" ht="21" thickBot="1" x14ac:dyDescent="0.25">
      <c r="A1" s="1" t="s">
        <v>0</v>
      </c>
      <c r="B1" s="3"/>
      <c r="C1" s="3"/>
      <c r="D1" s="3"/>
      <c r="E1" s="3"/>
      <c r="F1" s="3"/>
      <c r="G1" s="3"/>
      <c r="I1" t="s">
        <v>37</v>
      </c>
      <c r="J1" s="60">
        <v>43221</v>
      </c>
    </row>
    <row r="2" spans="1:11" s="7" customFormat="1" ht="15.75" thickTop="1" x14ac:dyDescent="0.2">
      <c r="I2" t="s">
        <v>31</v>
      </c>
      <c r="J2" s="60">
        <v>43225</v>
      </c>
      <c r="K2"/>
    </row>
    <row r="3" spans="1:11" s="7" customFormat="1" x14ac:dyDescent="0.2">
      <c r="A3" s="8" t="s">
        <v>15</v>
      </c>
      <c r="G3" s="9" t="s">
        <v>6</v>
      </c>
      <c r="I3" s="7" t="s">
        <v>46</v>
      </c>
      <c r="J3" s="80">
        <v>69</v>
      </c>
    </row>
    <row r="4" spans="1:11" s="7" customFormat="1" x14ac:dyDescent="0.2">
      <c r="A4" s="8" t="s">
        <v>24</v>
      </c>
      <c r="F4" s="9" t="s">
        <v>11</v>
      </c>
      <c r="G4" s="21" t="s">
        <v>12</v>
      </c>
      <c r="I4" t="s">
        <v>28</v>
      </c>
      <c r="J4" s="60">
        <v>43227</v>
      </c>
      <c r="K4"/>
    </row>
    <row r="5" spans="1:11" s="7" customFormat="1" x14ac:dyDescent="0.2">
      <c r="A5" s="8" t="s">
        <v>7</v>
      </c>
      <c r="F5" s="9" t="s">
        <v>10</v>
      </c>
      <c r="G5" s="20">
        <v>43259</v>
      </c>
      <c r="I5" t="s">
        <v>29</v>
      </c>
      <c r="J5" s="61">
        <v>246</v>
      </c>
      <c r="K5" t="s">
        <v>30</v>
      </c>
    </row>
    <row r="6" spans="1:11" s="7" customFormat="1" x14ac:dyDescent="0.2">
      <c r="A6" s="8" t="s">
        <v>18</v>
      </c>
      <c r="B6" s="8"/>
      <c r="F6" s="42" t="s">
        <v>17</v>
      </c>
      <c r="G6" s="42" t="str">
        <f ca="1">MID(CELL("filename",A1),FIND("[",CELL("filename",A1))+1,8)</f>
        <v>GR-18051</v>
      </c>
      <c r="I6" s="7" t="s">
        <v>42</v>
      </c>
      <c r="J6" s="7">
        <f>J4-J2</f>
        <v>2</v>
      </c>
      <c r="K6" s="7" t="s">
        <v>39</v>
      </c>
    </row>
    <row r="7" spans="1:11" s="7" customFormat="1" x14ac:dyDescent="0.2">
      <c r="A7" s="8"/>
      <c r="B7" s="8"/>
      <c r="I7" t="s">
        <v>36</v>
      </c>
      <c r="J7" s="59">
        <f>J6*0.5</f>
        <v>1</v>
      </c>
      <c r="K7" t="s">
        <v>30</v>
      </c>
    </row>
    <row r="8" spans="1:11" s="7" customFormat="1" x14ac:dyDescent="0.2">
      <c r="A8" s="10" t="s">
        <v>8</v>
      </c>
      <c r="B8" s="98" t="s">
        <v>59</v>
      </c>
      <c r="I8" t="s">
        <v>41</v>
      </c>
      <c r="J8" s="7">
        <f>FLOOR(J7,1)</f>
        <v>1</v>
      </c>
      <c r="K8" t="s">
        <v>30</v>
      </c>
    </row>
    <row r="9" spans="1:11" s="7" customFormat="1" x14ac:dyDescent="0.2">
      <c r="A9" s="10"/>
      <c r="B9" s="6" t="s">
        <v>60</v>
      </c>
      <c r="I9" t="s">
        <v>32</v>
      </c>
      <c r="J9" s="7">
        <f>J5-J8</f>
        <v>245</v>
      </c>
      <c r="K9" t="s">
        <v>30</v>
      </c>
    </row>
    <row r="10" spans="1:11" s="7" customFormat="1" x14ac:dyDescent="0.2">
      <c r="A10" s="10"/>
      <c r="B10" s="6" t="s">
        <v>61</v>
      </c>
      <c r="K10"/>
    </row>
    <row r="11" spans="1:11" s="7" customFormat="1" x14ac:dyDescent="0.2">
      <c r="A11" s="10"/>
      <c r="B11" s="6" t="s">
        <v>62</v>
      </c>
      <c r="I11" t="s">
        <v>38</v>
      </c>
      <c r="J11" s="64">
        <f>J1</f>
        <v>43221</v>
      </c>
    </row>
    <row r="12" spans="1:11" s="7" customFormat="1" x14ac:dyDescent="0.2">
      <c r="A12" s="10"/>
      <c r="B12" s="6" t="s">
        <v>63</v>
      </c>
      <c r="I12" s="7" t="str">
        <f>IF(J2&lt;J1,"Arrived before start of Farmax model - kgDM Adjustment applies","Arrived after start of Farmax model")</f>
        <v>Arrived after start of Farmax model</v>
      </c>
      <c r="K12"/>
    </row>
    <row r="13" spans="1:11" s="7" customFormat="1" x14ac:dyDescent="0.2">
      <c r="A13" s="10"/>
      <c r="B13" s="6"/>
      <c r="I13" s="7" t="str">
        <f>IF(J2&lt;J1,"Number of days between weighing and start of Farmax model","Arrived after start of Farmax model")</f>
        <v>Arrived after start of Farmax model</v>
      </c>
      <c r="J13" t="str">
        <f>IF(J4&lt;J11,J11-J4-1,"")</f>
        <v/>
      </c>
    </row>
    <row r="14" spans="1:11" s="7" customFormat="1" ht="25.5" customHeight="1" x14ac:dyDescent="0.2">
      <c r="A14" s="19" t="s">
        <v>9</v>
      </c>
      <c r="B14" s="19"/>
      <c r="C14" s="19"/>
      <c r="D14" s="19"/>
      <c r="E14" s="19"/>
      <c r="F14" s="19"/>
      <c r="G14" s="19"/>
      <c r="I14" t="str">
        <f>IF(J2&lt;J1,"Estimated gain between weighing and start of Farmax model","Arrived after start of Farmax model")</f>
        <v>Arrived after start of Farmax model</v>
      </c>
      <c r="J14" s="79" t="str">
        <f>IF(J4&lt;J11,0.5*J13,"")</f>
        <v/>
      </c>
      <c r="K14" t="str">
        <f>IF(J4&lt;J1,"kg","")</f>
        <v/>
      </c>
    </row>
    <row r="15" spans="1:11" s="7" customFormat="1" x14ac:dyDescent="0.2">
      <c r="A15" s="8"/>
      <c r="B15" s="8"/>
      <c r="I15" t="str">
        <f>IF(J2&lt;J1,"Rounding up","Arrived after start of Farmax model")</f>
        <v>Arrived after start of Farmax model</v>
      </c>
      <c r="J15" s="7" t="str">
        <f>IF(J4&lt;J11,CEILING(J14,1),"")</f>
        <v/>
      </c>
      <c r="K15" t="str">
        <f>IF(J4&lt;J1,"kg","")</f>
        <v/>
      </c>
    </row>
    <row r="16" spans="1:11" s="7" customFormat="1" ht="25.5" customHeight="1" x14ac:dyDescent="0.2">
      <c r="A16" s="26" t="s">
        <v>1</v>
      </c>
      <c r="B16" s="27" t="s">
        <v>2</v>
      </c>
      <c r="C16" s="27" t="s">
        <v>20</v>
      </c>
      <c r="D16" s="28" t="s">
        <v>21</v>
      </c>
      <c r="E16" s="46" t="s">
        <v>22</v>
      </c>
      <c r="F16" s="29" t="s">
        <v>23</v>
      </c>
      <c r="G16" s="30" t="s">
        <v>3</v>
      </c>
      <c r="I16" s="7" t="str">
        <f>IF(J2&lt;J1,"Estimated weight for start of Farmax model","Arrived after start of Farmax model")</f>
        <v>Arrived after start of Farmax model</v>
      </c>
      <c r="J16" s="7" t="str">
        <f>IF(J4&lt;J11,J5+J15,"")</f>
        <v/>
      </c>
      <c r="K16" t="str">
        <f>IF(J4&lt;J1,"kg","")</f>
        <v/>
      </c>
    </row>
    <row r="17" spans="1:11" s="7" customFormat="1" x14ac:dyDescent="0.2">
      <c r="A17" s="11">
        <f>IF(J28&lt;&gt;"",J3/2,J3)</f>
        <v>69</v>
      </c>
      <c r="B17" s="23" t="s">
        <v>16</v>
      </c>
      <c r="C17" s="44">
        <f>J9</f>
        <v>245</v>
      </c>
      <c r="D17" s="45">
        <f>J20</f>
        <v>473</v>
      </c>
      <c r="E17" s="43">
        <f>J22</f>
        <v>2877</v>
      </c>
      <c r="F17" s="47">
        <v>21</v>
      </c>
      <c r="G17" s="12">
        <f>IF(A17&gt;0,ROUND(A17*E17*F17/100,2),"")</f>
        <v>41687.730000000003</v>
      </c>
      <c r="I17" s="7" t="str">
        <f>IF(J2&lt;J1,"Number of days grazing before start of Farmax model","Arrived after start of Farmax model")</f>
        <v>Arrived after start of Farmax model</v>
      </c>
      <c r="J17" t="str">
        <f>IF(J2&lt;J11,J11-J2,"")</f>
        <v/>
      </c>
      <c r="K17" s="7" t="str">
        <f>IF(J4&lt;J1,"days","")</f>
        <v/>
      </c>
    </row>
    <row r="18" spans="1:11" s="7" customFormat="1" hidden="1" x14ac:dyDescent="0.2">
      <c r="A18" s="49" t="str">
        <f>IF(J8&lt;0,CONCATENATE("Start weight reduced by 0.5kg/day from actual weighing on ",TEXT(J4,"d mmmm")," back to arrival date of"),"")</f>
        <v/>
      </c>
      <c r="B18" s="66"/>
      <c r="C18" s="44"/>
      <c r="D18" s="44"/>
      <c r="E18" s="43"/>
      <c r="F18" s="67"/>
      <c r="G18" s="12"/>
      <c r="I18" t="str">
        <f>IF(J2&lt;J1,"Farmax feed demand for May @ 0.5 kg/day","Arrived after start of Farmax model")</f>
        <v>Arrived after start of Farmax model</v>
      </c>
      <c r="J18" s="62"/>
      <c r="K18" t="str">
        <f>IF(J4&lt;J1,"kg DM/day","")</f>
        <v/>
      </c>
    </row>
    <row r="19" spans="1:11" s="2" customFormat="1" hidden="1" x14ac:dyDescent="0.2">
      <c r="A19" s="53" t="str">
        <f>IF(J8&lt;0,CONCATENATE(TEXT(J2,"d mmmm"),".  ",J5,"kg - ",J8,"kg = ",J9,"kg"),"")</f>
        <v/>
      </c>
      <c r="B19" s="68"/>
      <c r="C19" s="25"/>
      <c r="D19" s="25"/>
      <c r="E19" s="69"/>
      <c r="F19" s="70"/>
      <c r="G19" s="17"/>
      <c r="I19" t="str">
        <f>IF(J2&lt;J1,"Feed consumed before start of Farmax model","Arrived after start of Farmax model")</f>
        <v>Arrived after start of Farmax model</v>
      </c>
      <c r="J19" s="63" t="str">
        <f>IF(J2&lt;J11,ROUND(J17*J18,0),"")</f>
        <v/>
      </c>
      <c r="K19" t="str">
        <f>IF(J4&lt;J1,"kg DM","")</f>
        <v/>
      </c>
    </row>
    <row r="20" spans="1:11" s="2" customFormat="1" hidden="1" x14ac:dyDescent="0.2">
      <c r="A20" s="49" t="str">
        <f>IF(J15&lt;&gt;"",CONCATENATE("Start weight for feed model increased by 0.5kg/day from actual weighing on ",TEXT(J4,"d mmmm")," to start of feed model on"),"")</f>
        <v/>
      </c>
      <c r="B20" s="66"/>
      <c r="C20" s="44"/>
      <c r="D20" s="44"/>
      <c r="E20" s="43"/>
      <c r="F20" s="67"/>
      <c r="G20" s="12"/>
      <c r="I20" t="s">
        <v>43</v>
      </c>
      <c r="J20" s="62">
        <v>473</v>
      </c>
      <c r="K20" t="s">
        <v>30</v>
      </c>
    </row>
    <row r="21" spans="1:11" s="2" customFormat="1" hidden="1" x14ac:dyDescent="0.2">
      <c r="A21" s="57" t="str">
        <f>IF(J15&lt;&gt;"",CONCATENATE(TEXT(J11,"d mmmm"),".  ",J5,"kg + ",J15,"kg = ",J16,"kg"),"")</f>
        <v/>
      </c>
      <c r="B21" s="56"/>
      <c r="C21" s="24"/>
      <c r="D21" s="24"/>
      <c r="E21" s="14"/>
      <c r="F21" s="65"/>
      <c r="G21" s="15"/>
      <c r="I21" t="s">
        <v>44</v>
      </c>
      <c r="J21" s="71">
        <v>2877</v>
      </c>
      <c r="K21" t="s">
        <v>40</v>
      </c>
    </row>
    <row r="22" spans="1:11" s="2" customFormat="1" hidden="1" x14ac:dyDescent="0.2">
      <c r="A22" s="49" t="str">
        <f>IF(J2&lt;J1,CONCATENATE("Feed model calculated kg DM increased by ",TEXT(J18,"0.00"),"kg DM/head/day from arrival on ",TEXT(J2,"d mmmm")," to the start of the"),"")</f>
        <v/>
      </c>
      <c r="B22" s="48"/>
      <c r="C22" s="48"/>
      <c r="D22" s="48"/>
      <c r="E22" s="73"/>
      <c r="F22" s="73"/>
      <c r="G22" s="74"/>
      <c r="I22" t="s">
        <v>45</v>
      </c>
      <c r="J22" s="76">
        <f>IF(J2&lt;J1,J21+J19,J21)</f>
        <v>2877</v>
      </c>
      <c r="K22" t="s">
        <v>40</v>
      </c>
    </row>
    <row r="23" spans="1:11" s="2" customFormat="1" hidden="1" x14ac:dyDescent="0.2">
      <c r="A23" s="53" t="str">
        <f>IF(J2&lt;J1,CONCATENATE("feed model on ",TEXT(J11,"d mmmm"),".  ",TEXT(J21,"0,000"),"kg + ",TEXT(J19,"#"),"kg = ",TEXT(J22,"0,000"),"kg"),"")</f>
        <v/>
      </c>
      <c r="B23" s="77"/>
      <c r="C23" s="77"/>
      <c r="D23" s="77"/>
      <c r="E23" s="78"/>
      <c r="F23" s="78"/>
      <c r="G23" s="75"/>
      <c r="I23"/>
      <c r="J23"/>
      <c r="K23"/>
    </row>
    <row r="24" spans="1:11" s="2" customFormat="1" hidden="1" x14ac:dyDescent="0.2">
      <c r="A24" s="57" t="str">
        <f>IF(J28&lt;&gt;"",CONCATENATE(J3," heifers in total"),"")</f>
        <v/>
      </c>
      <c r="B24" s="56"/>
      <c r="C24" s="24"/>
      <c r="D24" s="24"/>
      <c r="E24" s="14"/>
      <c r="F24" s="65"/>
      <c r="G24" s="15"/>
      <c r="I24"/>
      <c r="J24"/>
      <c r="K24"/>
    </row>
    <row r="25" spans="1:11" s="2" customFormat="1" hidden="1" x14ac:dyDescent="0.2">
      <c r="A25" s="57" t="str">
        <f>IF(J28&lt;&gt;"",CONCATENATE(J3/2," invoiced to ",B8),"")</f>
        <v/>
      </c>
      <c r="B25" s="56"/>
      <c r="C25" s="24"/>
      <c r="D25" s="24"/>
      <c r="E25" s="14"/>
      <c r="F25" s="65"/>
      <c r="G25" s="15"/>
      <c r="I25"/>
      <c r="J25"/>
      <c r="K25"/>
    </row>
    <row r="26" spans="1:11" s="2" customFormat="1" hidden="1" x14ac:dyDescent="0.2">
      <c r="A26" s="53" t="str">
        <f>IF(J28&lt;&gt;"",CONCATENATE(J3/2," invoiced to ",J28),"")</f>
        <v/>
      </c>
      <c r="B26" s="68"/>
      <c r="C26" s="25"/>
      <c r="D26" s="25"/>
      <c r="E26" s="69"/>
      <c r="F26" s="70"/>
      <c r="G26" s="17"/>
      <c r="I26"/>
      <c r="J26"/>
      <c r="K26"/>
    </row>
    <row r="27" spans="1:11" s="2" customFormat="1" ht="25.5" x14ac:dyDescent="0.2">
      <c r="A27" s="26" t="s">
        <v>1</v>
      </c>
      <c r="B27" s="99" t="s">
        <v>2</v>
      </c>
      <c r="C27" s="28"/>
      <c r="D27" s="28"/>
      <c r="E27" s="100"/>
      <c r="F27" s="100" t="s">
        <v>25</v>
      </c>
      <c r="G27" s="30" t="s">
        <v>3</v>
      </c>
      <c r="I27" t="s">
        <v>58</v>
      </c>
      <c r="J27" s="71" t="str">
        <f ca="1">MID(MID(CELL("filename",A1),SEARCH("[",CELL("filename",A1))+1,SEARCH(".",CELL("filename",A1))-1-SEARCH("[",CELL("filename",A1))),10,SEARCH(".xlsm",CELL("filename",A1))-SEARCH("[",CELL("filename",A1))-1)</f>
        <v>Henderson</v>
      </c>
      <c r="K27"/>
    </row>
    <row r="28" spans="1:11" s="2" customFormat="1" x14ac:dyDescent="0.2">
      <c r="A28" s="13">
        <f>J3</f>
        <v>69</v>
      </c>
      <c r="B28" s="49" t="s">
        <v>26</v>
      </c>
      <c r="C28" s="50"/>
      <c r="D28" s="50"/>
      <c r="E28" s="51"/>
      <c r="F28" s="52">
        <f>K44</f>
        <v>35</v>
      </c>
      <c r="G28" s="12">
        <f>IF(A28&gt;0,ROUND(A28*F28,2),"")</f>
        <v>2415</v>
      </c>
      <c r="H28" s="56"/>
      <c r="I28" t="s">
        <v>47</v>
      </c>
      <c r="J28" s="71"/>
      <c r="K28"/>
    </row>
    <row r="29" spans="1:11" s="2" customFormat="1" x14ac:dyDescent="0.2">
      <c r="A29" s="13">
        <f>J3</f>
        <v>69</v>
      </c>
      <c r="B29" s="57" t="s">
        <v>27</v>
      </c>
      <c r="C29" s="24"/>
      <c r="D29" s="24"/>
      <c r="E29" s="58"/>
      <c r="F29" s="52">
        <f>VLOOKUP(J29,J40:K42,2,FALSE)</f>
        <v>14.87</v>
      </c>
      <c r="G29" s="15">
        <f>IF(A29&gt;0,ROUND(A29*F29,2),"")</f>
        <v>1026.03</v>
      </c>
      <c r="I29" t="s">
        <v>48</v>
      </c>
      <c r="J29" s="81" t="s">
        <v>53</v>
      </c>
      <c r="K29"/>
    </row>
    <row r="30" spans="1:11" s="2" customFormat="1" x14ac:dyDescent="0.2">
      <c r="A30" s="16">
        <v>1</v>
      </c>
      <c r="B30" s="53" t="s">
        <v>33</v>
      </c>
      <c r="C30" s="25"/>
      <c r="D30" s="25"/>
      <c r="E30" s="54"/>
      <c r="F30" s="55">
        <v>5</v>
      </c>
      <c r="G30" s="17">
        <f>IF(A30&gt;0,ROUND(A30*F30,2),"")</f>
        <v>5</v>
      </c>
      <c r="I30"/>
      <c r="J30"/>
      <c r="K30"/>
    </row>
    <row r="31" spans="1:11" s="2" customFormat="1" x14ac:dyDescent="0.2">
      <c r="A31" s="91"/>
      <c r="B31" s="92" t="s">
        <v>4</v>
      </c>
      <c r="C31" s="93"/>
      <c r="D31" s="93"/>
      <c r="E31" s="93"/>
      <c r="F31" s="93"/>
      <c r="G31" s="94">
        <f>SUM(G16:G30)</f>
        <v>45133.760000000002</v>
      </c>
      <c r="I31"/>
      <c r="J31"/>
      <c r="K31"/>
    </row>
    <row r="32" spans="1:11" s="2" customFormat="1" x14ac:dyDescent="0.2">
      <c r="A32" s="32"/>
      <c r="B32" s="33" t="s">
        <v>19</v>
      </c>
      <c r="C32" s="31"/>
      <c r="D32" s="31"/>
      <c r="E32" s="31"/>
      <c r="F32" s="31"/>
      <c r="G32" s="34">
        <f>ROUND(G31*0.15,2)</f>
        <v>6770.06</v>
      </c>
      <c r="I32"/>
      <c r="J32"/>
      <c r="K32"/>
    </row>
    <row r="33" spans="1:11" s="2" customFormat="1" x14ac:dyDescent="0.2">
      <c r="A33" s="38"/>
      <c r="B33" s="39" t="s">
        <v>5</v>
      </c>
      <c r="C33" s="40"/>
      <c r="D33" s="40"/>
      <c r="E33" s="40"/>
      <c r="F33" s="40"/>
      <c r="G33" s="41">
        <f>SUM(G31:G32)</f>
        <v>51903.82</v>
      </c>
      <c r="I33"/>
      <c r="J33"/>
      <c r="K33"/>
    </row>
    <row r="34" spans="1:11" s="2" customFormat="1" ht="19.5" customHeight="1" x14ac:dyDescent="0.2">
      <c r="A34" s="35"/>
      <c r="B34" s="36"/>
      <c r="C34" s="36"/>
      <c r="D34" s="36"/>
      <c r="E34" s="36"/>
      <c r="F34" s="36"/>
      <c r="G34" s="37"/>
      <c r="I34" t="s">
        <v>35</v>
      </c>
      <c r="J34" s="72">
        <f>G17/A17/52</f>
        <v>11.618653846153848</v>
      </c>
      <c r="K34" t="s">
        <v>34</v>
      </c>
    </row>
    <row r="35" spans="1:11" s="2" customFormat="1" ht="19.5" customHeight="1" x14ac:dyDescent="0.2">
      <c r="A35" s="38"/>
      <c r="B35" s="39" t="s">
        <v>13</v>
      </c>
      <c r="C35" s="40"/>
      <c r="D35" s="40"/>
      <c r="E35" s="40"/>
      <c r="F35" s="40"/>
      <c r="G35" s="41">
        <f>G33/12</f>
        <v>4325.3183333333336</v>
      </c>
      <c r="I35"/>
      <c r="J35"/>
      <c r="K35"/>
    </row>
    <row r="36" spans="1:11" s="2" customFormat="1" ht="19.5" customHeight="1" x14ac:dyDescent="0.2">
      <c r="A36"/>
      <c r="B36"/>
      <c r="C36"/>
      <c r="D36"/>
      <c r="E36"/>
      <c r="F36"/>
      <c r="G36"/>
      <c r="I36"/>
    </row>
    <row r="37" spans="1:11" s="2" customFormat="1" ht="15.75" x14ac:dyDescent="0.2">
      <c r="A37" s="22" t="s">
        <v>14</v>
      </c>
      <c r="B37" s="5"/>
      <c r="C37" s="5"/>
      <c r="D37" s="5"/>
      <c r="E37" s="5"/>
      <c r="F37" s="5"/>
      <c r="G37" s="5"/>
      <c r="I37"/>
    </row>
    <row r="38" spans="1:11" s="2" customFormat="1" x14ac:dyDescent="0.2">
      <c r="A38" s="18" t="str">
        <f>CONCATENATE("1.  Payment is due the 20th of each month commencing on 20 June ",YEAR(J1)," with the final payment")</f>
        <v>1.  Payment is due the 20th of each month commencing on 20 June 2018 with the final payment</v>
      </c>
      <c r="B38" s="5"/>
      <c r="C38" s="5"/>
      <c r="D38" s="5"/>
      <c r="E38" s="5"/>
      <c r="F38" s="5"/>
      <c r="G38" s="5"/>
      <c r="I38"/>
      <c r="J38" s="82" t="s">
        <v>50</v>
      </c>
      <c r="K38" s="85"/>
    </row>
    <row r="39" spans="1:11" customFormat="1" x14ac:dyDescent="0.2">
      <c r="A39" s="18" t="str">
        <f>CONCATENATE("     due on 20 May ",YEAR(J1)+1,".")</f>
        <v xml:space="preserve">     due on 20 May 2019.</v>
      </c>
      <c r="B39" s="5"/>
      <c r="C39" s="5"/>
      <c r="D39" s="5"/>
      <c r="E39" s="5"/>
      <c r="F39" s="5"/>
      <c r="G39" s="5"/>
      <c r="J39" s="84" t="s">
        <v>48</v>
      </c>
      <c r="K39" s="86" t="s">
        <v>51</v>
      </c>
    </row>
    <row r="40" spans="1:11" x14ac:dyDescent="0.2">
      <c r="A40" s="96" t="s">
        <v>56</v>
      </c>
      <c r="B40" s="97"/>
      <c r="C40" s="97"/>
      <c r="D40" s="97"/>
      <c r="E40" s="97"/>
      <c r="F40" s="97"/>
      <c r="G40" s="97"/>
      <c r="I40" s="2"/>
      <c r="J40" s="83" t="s">
        <v>52</v>
      </c>
      <c r="K40" s="87">
        <v>12.33</v>
      </c>
    </row>
    <row r="41" spans="1:11" x14ac:dyDescent="0.2">
      <c r="A41" s="97"/>
      <c r="B41" s="96" t="s">
        <v>57</v>
      </c>
      <c r="C41" s="97"/>
      <c r="D41" s="97"/>
      <c r="E41" s="97"/>
      <c r="F41" s="97"/>
      <c r="G41" s="97"/>
      <c r="I41" s="2"/>
      <c r="J41" s="83" t="s">
        <v>49</v>
      </c>
      <c r="K41" s="87">
        <v>13.5</v>
      </c>
    </row>
    <row r="42" spans="1:11" x14ac:dyDescent="0.2">
      <c r="A42" s="97"/>
      <c r="B42" s="96" t="str">
        <f>CONCATENATE("Particulars : ",UPPER("grazing"))</f>
        <v>Particulars : GRAZING</v>
      </c>
      <c r="C42" s="97"/>
      <c r="D42" s="97"/>
      <c r="E42" s="97"/>
      <c r="F42" s="97"/>
      <c r="G42" s="97"/>
      <c r="I42" s="2"/>
      <c r="J42" s="95" t="s">
        <v>53</v>
      </c>
      <c r="K42" s="88">
        <v>14.87</v>
      </c>
    </row>
    <row r="43" spans="1:11" x14ac:dyDescent="0.2">
      <c r="A43" s="97"/>
      <c r="B43" s="96" t="str">
        <f ca="1">CONCATENATE("Code : ",UPPER(J27))</f>
        <v>Code : HENDERSON</v>
      </c>
      <c r="C43" s="97"/>
      <c r="D43" s="97"/>
      <c r="E43" s="97"/>
      <c r="F43" s="97"/>
      <c r="G43" s="97"/>
      <c r="I43"/>
      <c r="J43" s="2"/>
    </row>
    <row r="44" spans="1:11" x14ac:dyDescent="0.2">
      <c r="A44" s="97"/>
      <c r="B44" s="96" t="str">
        <f ca="1">CONCATENATE("Reference : ",UPPER(G6))</f>
        <v>Reference : GR-18051</v>
      </c>
      <c r="C44" s="97"/>
      <c r="D44" s="97"/>
      <c r="E44" s="97"/>
      <c r="F44" s="97"/>
      <c r="G44" s="97"/>
      <c r="J44" s="84" t="s">
        <v>54</v>
      </c>
      <c r="K44" s="89">
        <v>35</v>
      </c>
    </row>
    <row r="45" spans="1:11" x14ac:dyDescent="0.2">
      <c r="J45" s="90" t="s">
        <v>55</v>
      </c>
      <c r="K45" s="89">
        <v>5</v>
      </c>
    </row>
  </sheetData>
  <phoneticPr fontId="0" type="noConversion"/>
  <printOptions horizontalCentered="1"/>
  <pageMargins left="0.98425196850393704" right="0.39370078740157483" top="0.78740157480314965" bottom="0.19685039370078741" header="0.19685039370078741" footer="0"/>
  <pageSetup paperSize="9"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Grazing Invoice</vt:lpstr>
      <vt:lpstr>'Grazing Invoice'!Print_Area</vt:lpstr>
    </vt:vector>
  </TitlesOfParts>
  <Manager>Brett Honeyfield</Manager>
  <Company>Powerhouse Agriventures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Standard Workbook Template</dc:title>
  <dc:subject>Standard Templates</dc:subject>
  <dc:creator>Brett Honeyfield</dc:creator>
  <cp:lastModifiedBy>Brett Honeyfield</cp:lastModifiedBy>
  <cp:lastPrinted>2018-06-08T03:25:02Z</cp:lastPrinted>
  <dcterms:created xsi:type="dcterms:W3CDTF">1996-08-22T23:29:26Z</dcterms:created>
  <dcterms:modified xsi:type="dcterms:W3CDTF">2018-06-08T03:36:29Z</dcterms:modified>
</cp:coreProperties>
</file>